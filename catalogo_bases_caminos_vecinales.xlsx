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Catálogo" sheetId="2" state="visible" r:id="rId4"/>
    <sheet name="Pedidos sugeridos" sheetId="3" state="visible" r:id="rId5"/>
  </sheets>
  <definedNames>
    <definedName function="false" hidden="true" localSheetId="1" name="_xlnm._FilterDatabase" vbProcedure="false">Catálogo!$A$1:$P$43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<sst xmlns="http://schemas.openxmlformats.org/spreadsheetml/2006/main" count="710" uniqueCount="527">
  <si>
    <t xml:space="preserve">Catálogo y repositorio de datos – Caminos vecinales y condiciones de vida rural (v2)</t>
  </si>
  <si>
    <t xml:space="preserve">Pregunta</t>
  </si>
  <si>
    <t xml:space="preserve">¿Cómo influye la calidad de los caminos vecinales en las condiciones de vida de la población rural de los departamentos más pobres de la Región Oriental?</t>
  </si>
  <si>
    <t xml:space="preserve">Hipótesis</t>
  </si>
  <si>
    <t xml:space="preserve">La falta de caminos vecinales de todo tiempo afecta la calidad de vida rural porque limita el acceso a servicios básicos y la comercialización de la producción.</t>
  </si>
  <si>
    <t xml:space="preserve">Departamentos foco</t>
  </si>
  <si>
    <t xml:space="preserve">Concepción (01), San Pedro (02), Caaguazú (05), Caazapá (06) y Canindeyú (14). Según la EPHC 2022-2025 son los de mayor pobreza rural de la Región Oriental, junto con Guairá.</t>
  </si>
  <si>
    <t xml:space="preserve">Fecha</t>
  </si>
  <si>
    <t xml:space="preserve">17/10/2026 – versión 2, con descargas desde los sitios oficiales</t>
  </si>
  <si>
    <t xml:space="preserve">Resumen por estado</t>
  </si>
  <si>
    <t xml:space="preserve">Descargado y procesado</t>
  </si>
  <si>
    <t xml:space="preserve">Descargado</t>
  </si>
  <si>
    <t xml:space="preserve">Parcial</t>
  </si>
  <si>
    <t xml:space="preserve">Requiere pedido</t>
  </si>
  <si>
    <t xml:space="preserve">No disponible</t>
  </si>
  <si>
    <t xml:space="preserve">En línea (no descargable)</t>
  </si>
  <si>
    <t xml:space="preserve">Total de fuentes</t>
  </si>
  <si>
    <t xml:space="preserve">Hallazgos clave</t>
  </si>
  <si>
    <t xml:space="preserve">1</t>
  </si>
  <si>
    <t xml:space="preserve">El MOPC publica en Drive los mapas del inventario vial (corte dic. 2025) con tablas de km por red y superficie. Se extrajeron a CSV: en los departamentos foco la red vecinal es de tierra entre el 85 % (Caaguazú) y el 97 % (Caazapá).</t>
  </si>
  <si>
    <t xml:space="preserve">2</t>
  </si>
  <si>
    <t xml:space="preserve">La EPHC trae dos preguntas que miden la barrera de acceso: ED10 = 6 ('No existe institución cercana') y S05 = 2 ('No hay atención cercana'). No trae código de distrito.</t>
  </si>
  <si>
    <t xml:space="preserve">3</t>
  </si>
  <si>
    <t xml:space="preserve">HeiGIT (HDX) publica un Rural Access Index por distrito (2026) y capas de superficie de caminos con IA. Es la variable explicativa más directa disponible sin hacer pedidos.</t>
  </si>
  <si>
    <t xml:space="preserve">4</t>
  </si>
  <si>
    <t xml:space="preserve">El INE publica el IPM por distrito con apertura urbano/rural (Censo 2022). Es la variable resultado más fina disponible.</t>
  </si>
  <si>
    <t xml:space="preserve">5</t>
  </si>
  <si>
    <t xml:space="preserve">El MOPC publica un informe diario de puentes y caminos clausurados (con causa: lluvia o derrumbe), útil para medir intransitabilidad.</t>
  </si>
  <si>
    <t xml:space="preserve">6</t>
  </si>
  <si>
    <t xml:space="preserve">Errores de origen detectados: el PDF de Misiones (MOPC) trae la tabla de Itapúa; el Cuadro A1 del Censo rotula a Cordillera como Concepción; el Excel del mapa de pobreza distrital da error 404.</t>
  </si>
  <si>
    <t xml:space="preserve">Hojas</t>
  </si>
  <si>
    <t xml:space="preserve">Catálogo</t>
  </si>
  <si>
    <t xml:space="preserve">Una fila por fuente, con estado y ubicación en el repositorio.</t>
  </si>
  <si>
    <t xml:space="preserve">Pedidos sugeridos</t>
  </si>
  <si>
    <t xml:space="preserve">Datos que hay que pedir.</t>
  </si>
  <si>
    <t xml:space="preserve">Repositorio</t>
  </si>
  <si>
    <t xml:space="preserve">Carpeta repositorio_caminos_vecinales/ (ver README.md e _inventario_archivos.csv).</t>
  </si>
  <si>
    <t xml:space="preserve">ID</t>
  </si>
  <si>
    <t xml:space="preserve">Eje del análisis</t>
  </si>
  <si>
    <t xml:space="preserve">Base / fuente</t>
  </si>
  <si>
    <t xml:space="preserve">Institución</t>
  </si>
  <si>
    <t xml:space="preserve">Descripción</t>
  </si>
  <si>
    <t xml:space="preserve">Variables o información clave</t>
  </si>
  <si>
    <t xml:space="preserve">Desagregación</t>
  </si>
  <si>
    <t xml:space="preserve">Período</t>
  </si>
  <si>
    <t xml:space="preserve">Formato</t>
  </si>
  <si>
    <t xml:space="preserve">Enlace principal</t>
  </si>
  <si>
    <t xml:space="preserve">Prioridad</t>
  </si>
  <si>
    <t xml:space="preserve">Qué aporta a la pregunta / hipótesis</t>
  </si>
  <si>
    <t xml:space="preserve">Advertencias / hallazgos al revisar</t>
  </si>
  <si>
    <t xml:space="preserve">Estado</t>
  </si>
  <si>
    <t xml:space="preserve">Ubicación en el repositorio</t>
  </si>
  <si>
    <t xml:space="preserve">Notas (completar)</t>
  </si>
  <si>
    <t xml:space="preserve">01</t>
  </si>
  <si>
    <t xml:space="preserve">0. Productos elaborados</t>
  </si>
  <si>
    <t xml:space="preserve">Base distrital integrada (263 distritos, 49 variables)</t>
  </si>
  <si>
    <t xml:space="preserve">Elaboración propia</t>
  </si>
  <si>
    <t xml:space="preserve">Une IPM y NBI por distrito y área (Censo 2022), población urbana/rural, RAI y accesibilidad (HeiGIT) e inventario vial MOPC.</t>
  </si>
  <si>
    <t xml:space="preserve">IPM H/A/M0 rural, NBI, población rural, RAI, % población con acceso a salud y educación, km vecinales.</t>
  </si>
  <si>
    <t xml:space="preserve">Distrito</t>
  </si>
  <si>
    <t xml:space="preserve">2022-2026</t>
  </si>
  <si>
    <t xml:space="preserve">CSV + diccionario</t>
  </si>
  <si>
    <t xml:space="preserve">—</t>
  </si>
  <si>
    <t xml:space="preserve">Alta</t>
  </si>
  <si>
    <t xml:space="preserve">Base lista para el análisis transversal por distrito (85 distritos en los departamentos foco).</t>
  </si>
  <si>
    <t xml:space="preserve">Exploratorio en los 85 distritos foco: ρ de Spearman entre RAI e IPM rural = −0,40; entre acceso a hospital en 1 h e IPM rural = −0,62. Es una correlación, no causalidad.</t>
  </si>
  <si>
    <t xml:space="preserve">00_base_integrada/base_distrital_integrada.csv</t>
  </si>
  <si>
    <t xml:space="preserve">02</t>
  </si>
  <si>
    <t xml:space="preserve">Base departamental integrada</t>
  </si>
  <si>
    <t xml:space="preserve">Indicadores rurales EPHC 2022-2025 (pobreza, no asistencia por falta de institución cercana, no consulta por falta de atención cercana) + inventario vial MOPC + RAI agregado.</t>
  </si>
  <si>
    <t xml:space="preserve">Ver diccionario.</t>
  </si>
  <si>
    <t xml:space="preserve">Departamento</t>
  </si>
  <si>
    <t xml:space="preserve">CSV</t>
  </si>
  <si>
    <t xml:space="preserve">Comparación de departamentos con la EPHC; mide directamente las barreras de acceso de la hipótesis.</t>
  </si>
  <si>
    <t xml:space="preserve">Canindeyú (14,3 %), Ñeembucú (13,4 %), Concepción (12,2 %) y Amambay (11,4 %) tienen el mayor % de no asistencia rural por 'no existe institución cercana' (2022-25).</t>
  </si>
  <si>
    <t xml:space="preserve">00_base_integrada/base_departamental_integrada.csv</t>
  </si>
  <si>
    <t xml:space="preserve">03</t>
  </si>
  <si>
    <t xml:space="preserve">A. Condiciones de vida (resultado)</t>
  </si>
  <si>
    <t xml:space="preserve">EPHC anual 2025 (microdatos)</t>
  </si>
  <si>
    <t xml:space="preserve">INE</t>
  </si>
  <si>
    <t xml:space="preserve">Base anual: vivienda (REG01, 17.092 hogares), personas (REG02, 55.934) e ingresos (INGREFAM), con diccionario y cuestionario.</t>
  </si>
  <si>
    <t xml:space="preserve">DPTO, AREA, UPM, FACTOR; pobrezai, ipcm; V-variables de vivienda y servicios; ED10 (motivo de no asistencia: 6 = 'No existe institución cercana'); S05 (motivo de no consulta: 2 = 'No hay atención cercana').</t>
  </si>
  <si>
    <t xml:space="preserve">Departamento × área (sin código de distrito)</t>
  </si>
  <si>
    <t xml:space="preserve">2025</t>
  </si>
  <si>
    <t xml:space="preserve">SAV, CSV, XLS, DOC, PDF</t>
  </si>
  <si>
    <t xml:space="preserve">https://www.ine.gov.py/microdatos/</t>
  </si>
  <si>
    <t xml:space="preserve">Variable resultado y medición directa de la barrera de acceso.</t>
  </si>
  <si>
    <t xml:space="preserve">No trae código de distrito ni pregunta sobre el camino. La muestra rural por departamento es de 35 a 81 UPM: conviene juntar años.</t>
  </si>
  <si>
    <t xml:space="preserve">01_condiciones_de_vida/EPHC_anual/EPHC_2025_ANUAL</t>
  </si>
  <si>
    <t xml:space="preserve">04</t>
  </si>
  <si>
    <t xml:space="preserve">EPHC anual 2022-2024 (microdatos)</t>
  </si>
  <si>
    <t xml:space="preserve">Bases anuales con factor revisión 2025, comparables con 2025.</t>
  </si>
  <si>
    <t xml:space="preserve">Igual que 2025.</t>
  </si>
  <si>
    <t xml:space="preserve">Departamento × área</t>
  </si>
  <si>
    <t xml:space="preserve">2022-2024</t>
  </si>
  <si>
    <t xml:space="preserve">SAV, XLS, DOC</t>
  </si>
  <si>
    <t xml:space="preserve">Juntar años da más precisión en zonas rurales.</t>
  </si>
  <si>
    <t xml:space="preserve">Se bajaron SAV y diccionarios; los CSV están en el portal.</t>
  </si>
  <si>
    <t xml:space="preserve">01_condiciones_de_vida/EPHC_anual</t>
  </si>
  <si>
    <t xml:space="preserve">05</t>
  </si>
  <si>
    <t xml:space="preserve">EPHC serie 2017-2021 (microdatos)</t>
  </si>
  <si>
    <t xml:space="preserve">Serie comparable anual.</t>
  </si>
  <si>
    <t xml:space="preserve">Igual que la anual.</t>
  </si>
  <si>
    <t xml:space="preserve">2017-2021</t>
  </si>
  <si>
    <t xml:space="preserve">SAV, XLS, DOC, PDF</t>
  </si>
  <si>
    <t xml:space="preserve">Media</t>
  </si>
  <si>
    <t xml:space="preserve">Análisis antes/después donde hubo obras.</t>
  </si>
  <si>
    <t xml:space="preserve">También están en el portal la serie EPH 1997-2016 y las bases trimestrales 2017-2026 (no descargadas).</t>
  </si>
  <si>
    <t xml:space="preserve">01_condiciones_de_vida/EPHC_serie_2017_2021</t>
  </si>
  <si>
    <t xml:space="preserve">06</t>
  </si>
  <si>
    <t xml:space="preserve">IPM anual – bases de microdatos 2022, 2024, 2025</t>
  </si>
  <si>
    <t xml:space="preserve">Bases del IPM oficial (MPI*_fin) con do-file y manual.</t>
  </si>
  <si>
    <t xml:space="preserve">Privaciones por indicador, H, A, M0.</t>
  </si>
  <si>
    <t xml:space="preserve">2016-2025 (portal)</t>
  </si>
  <si>
    <t xml:space="preserve">DTA, DO, DOC</t>
  </si>
  <si>
    <t xml:space="preserve">Pobreza multidimensional a nivel hogar/persona.</t>
  </si>
  <si>
    <t xml:space="preserve">El portal tiene bases desde 2016 (factor revisión 2025).</t>
  </si>
  <si>
    <t xml:space="preserve">01_condiciones_de_vida/IPM_anual</t>
  </si>
  <si>
    <t xml:space="preserve">07</t>
  </si>
  <si>
    <t xml:space="preserve">Tabulados de pobreza INE (25 cuadros)</t>
  </si>
  <si>
    <t xml:space="preserve">Pobreza monetaria por departamento 2022-2025, IPM por departamento, indicadores de precisión 2025, IPM (H, A, M0) por distrito y área (Censo 2022), NBI por distrito 2022.</t>
  </si>
  <si>
    <t xml:space="preserve">Incidencia, brecha, severidad, IPM, NBI.</t>
  </si>
  <si>
    <t xml:space="preserve">Departamento; distrito × área</t>
  </si>
  <si>
    <t xml:space="preserve">2022-2025</t>
  </si>
  <si>
    <t xml:space="preserve">XLSX/XLS</t>
  </si>
  <si>
    <t xml:space="preserve">https://www.ine.gov.py/publicacion/4/pobreza</t>
  </si>
  <si>
    <t xml:space="preserve">Resultado a escala distrital con apertura rural.</t>
  </si>
  <si>
    <t xml:space="preserve">El IPM distrital por área es la variable resultado más fina disponible.</t>
  </si>
  <si>
    <t xml:space="preserve">01_condiciones_de_vida/pobreza_tabulados_INE</t>
  </si>
  <si>
    <t xml:space="preserve">08</t>
  </si>
  <si>
    <t xml:space="preserve">Mapa de pobreza monetaria distrital (estimación en áreas pequeñas)</t>
  </si>
  <si>
    <t xml:space="preserve">INE / Banco Mundial (vía datos.gov.py)</t>
  </si>
  <si>
    <t xml:space="preserve">Censo 2022 + EPHC 2023, 263 distritos.</t>
  </si>
  <si>
    <t xml:space="preserve">Pobreza monetaria por distrito.</t>
  </si>
  <si>
    <t xml:space="preserve">Ref. 2023</t>
  </si>
  <si>
    <t xml:space="preserve">PDF (resumen, metodología, presentación)</t>
  </si>
  <si>
    <t xml:space="preserve">https://www.datos.gov.py/dataset/mapa-de-pobreza-monetaria-distrital</t>
  </si>
  <si>
    <t xml:space="preserve">Resultado monetario por distrito.</t>
  </si>
  <si>
    <t xml:space="preserve">El Excel con los cuadros distritales da error 404. Los PDF solo traen los distritos extremos. Hay que pedir el cuadro al INE.</t>
  </si>
  <si>
    <t xml:space="preserve">01_condiciones_de_vida/pobreza_distrital/mapa-de-pobreza-monetaria-distrital</t>
  </si>
  <si>
    <t xml:space="preserve">09</t>
  </si>
  <si>
    <t xml:space="preserve">IPM distrital (Censo 2022) – documento y anexo</t>
  </si>
  <si>
    <t xml:space="preserve">INE (vía datos.gov.py)</t>
  </si>
  <si>
    <t xml:space="preserve">Metodología y anexo con resultados.</t>
  </si>
  <si>
    <t xml:space="preserve">IPM por distrito.</t>
  </si>
  <si>
    <t xml:space="preserve">2022</t>
  </si>
  <si>
    <t xml:space="preserve">PDF, XLSX</t>
  </si>
  <si>
    <t xml:space="preserve">https://www.datos.gov.py/dataset/indice-de-pobreza-multidimensional-distrital</t>
  </si>
  <si>
    <t xml:space="preserve">Complementa los cuadros por área.</t>
  </si>
  <si>
    <t xml:space="preserve">01_condiciones_de_vida/pobreza_distrital</t>
  </si>
  <si>
    <t xml:space="preserve">10</t>
  </si>
  <si>
    <t xml:space="preserve">Censo 2022 – resultados finales (272 cuadros)</t>
  </si>
  <si>
    <t xml:space="preserve">Población por sexo, edad y área; hogares; jefatura; etc., por departamento y distrito.</t>
  </si>
  <si>
    <t xml:space="preserve">Población urbana/rural por distrito, hogares.</t>
  </si>
  <si>
    <t xml:space="preserve">CSV, JSON</t>
  </si>
  <si>
    <t xml:space="preserve">https://www.datos.gov.py/dataset/resultados-finales-del-censo-nacional-de-poblaci%C3%B3n-y-viviendas-2022</t>
  </si>
  <si>
    <t xml:space="preserve">Denominadores y caracterización.</t>
  </si>
  <si>
    <t xml:space="preserve">Error de origen: el Cuadro A1 rotula a Cordillera como 'Departamento Concepcion' (corregido en la base integrada).</t>
  </si>
  <si>
    <t xml:space="preserve">02_censo_2022</t>
  </si>
  <si>
    <t xml:space="preserve">11</t>
  </si>
  <si>
    <t xml:space="preserve">Censo 2022 – otros conjuntos (hogares, sociodemográfico, laboral, indígena, proyecciones distritales 2000-2035)</t>
  </si>
  <si>
    <t xml:space="preserve">Publicaciones temáticas y proyecciones de población distrital.</t>
  </si>
  <si>
    <t xml:space="preserve">Según el conjunto.</t>
  </si>
  <si>
    <t xml:space="preserve">2022 / 2000-2035</t>
  </si>
  <si>
    <t xml:space="preserve">XLSX, PDF, CSV</t>
  </si>
  <si>
    <t xml:space="preserve">https://www.datos.gov.py/</t>
  </si>
  <si>
    <t xml:space="preserve">Contexto y denominadores anuales.</t>
  </si>
  <si>
    <t xml:space="preserve">12</t>
  </si>
  <si>
    <t xml:space="preserve">Censo 2022 – REDATAM (procesamiento en línea)</t>
  </si>
  <si>
    <t xml:space="preserve">INE / CELADE</t>
  </si>
  <si>
    <t xml:space="preserve">Microdatos censales en línea.</t>
  </si>
  <si>
    <t xml:space="preserve">Cruces a medida por localidad.</t>
  </si>
  <si>
    <t xml:space="preserve">Localidad/compañía</t>
  </si>
  <si>
    <t xml:space="preserve">En línea</t>
  </si>
  <si>
    <t xml:space="preserve">https://redatam.org/es/procesar-en-linea/censos/pobviv</t>
  </si>
  <si>
    <t xml:space="preserve">Indicadores por localidad para unir con caminos.</t>
  </si>
  <si>
    <t xml:space="preserve">No se pueden descargar microdatos.</t>
  </si>
  <si>
    <t xml:space="preserve">13</t>
  </si>
  <si>
    <t xml:space="preserve">B. Caminos y red vial (explicativa)</t>
  </si>
  <si>
    <t xml:space="preserve">Inventario vial MOPC – tabla de km por red y superficie (extraída de los 17 mapas)</t>
  </si>
  <si>
    <t xml:space="preserve">MOPC – Dirección de Planificación Vial</t>
  </si>
  <si>
    <t xml:space="preserve">Km por red (nacional, departamental, vecinal) y superficie (asfalto, tratamiento superficial, adoquín, empedrado, ripio, tierra) por departamento.</t>
  </si>
  <si>
    <t xml:space="preserve">km_tierra_T, km_total por red; % vecinal en tierra.</t>
  </si>
  <si>
    <t xml:space="preserve">Corte dic. 2025</t>
  </si>
  <si>
    <t xml:space="preserve">CSV (procesado) + 17 PDF</t>
  </si>
  <si>
    <t xml:space="preserve">https://mopc.gov.py/red-vial/</t>
  </si>
  <si>
    <t xml:space="preserve">Variable explicativa oficial: en los departamentos foco, entre el 85 % y el 97 % de la red vecinal es de tierra.</t>
  </si>
  <si>
    <t xml:space="preserve">Error de origen: el PDF de Misiones trae la tabla de Itapúa. Todas las filas cuadran (suma = total).</t>
  </si>
  <si>
    <t xml:space="preserve">03_red_vial_MOPC/MOPC_inventario_km_por_red_y_superficie_dic2025.csv</t>
  </si>
  <si>
    <t xml:space="preserve">14</t>
  </si>
  <si>
    <t xml:space="preserve">Mapas de inventario vial por departamento (corte dic. 2025) y mapa nacional</t>
  </si>
  <si>
    <t xml:space="preserve">MOPC</t>
  </si>
  <si>
    <t xml:space="preserve">PDF A3 con la red por tipo y superficie.</t>
  </si>
  <si>
    <t xml:space="preserve">Trazado de caminos vecinales por superficie.</t>
  </si>
  <si>
    <t xml:space="preserve">Tramo (imagen)</t>
  </si>
  <si>
    <t xml:space="preserve">Dic. 2025</t>
  </si>
  <si>
    <t xml:space="preserve">PDF</t>
  </si>
  <si>
    <t xml:space="preserve">Referencia visual. Se puede digitalizar si no se consigue la capa SIG.</t>
  </si>
  <si>
    <t xml:space="preserve">Son PDF, no archivos vectoriales.</t>
  </si>
  <si>
    <t xml:space="preserve">03_red_vial_MOPC/corte_inventario_dic2025</t>
  </si>
  <si>
    <t xml:space="preserve">15</t>
  </si>
  <si>
    <t xml:space="preserve">Mapas viales 2026 y obras en ejecución (mar. 2026) – departamentos foco</t>
  </si>
  <si>
    <t xml:space="preserve">Mapa vial 2026 y obras en ejecución por departamento.</t>
  </si>
  <si>
    <t xml:space="preserve">Ubicación de obras.</t>
  </si>
  <si>
    <t xml:space="preserve">2026</t>
  </si>
  <si>
    <t xml:space="preserve">Identifica tramos intervenidos (posible tratamiento).</t>
  </si>
  <si>
    <t xml:space="preserve">Solo se bajaron los 5 departamentos foco; el resto está en el Drive del MOPC.</t>
  </si>
  <si>
    <t xml:space="preserve">03_red_vial_MOPC/mapas_viales_por_departamento_2026 ; obras_en_ejecucion_mar2026</t>
  </si>
  <si>
    <t xml:space="preserve">16</t>
  </si>
  <si>
    <t xml:space="preserve">Informe diario de puentes y rutas clausurados + estado por localidad</t>
  </si>
  <si>
    <t xml:space="preserve">MOPC – Departamento de Radiocomunicaciones</t>
  </si>
  <si>
    <t xml:space="preserve">Informe diario: puentes inhabilitados y tramos clausurados (incluye caminos de compañías), y estado del tiempo y de la ruta en unas 50 localidades.</t>
  </si>
  <si>
    <t xml:space="preserve">Fecha, departamento, tramo, tipo de restricción, causa (lluvia, derrumbe), estado.</t>
  </si>
  <si>
    <t xml:space="preserve">Tramo / localidad</t>
  </si>
  <si>
    <t xml:space="preserve">Ene.-oct. 2026 (diario)</t>
  </si>
  <si>
    <t xml:space="preserve">744 PDF + 3 CSV extraídos (clausuras, estado por localidad, avisos)</t>
  </si>
  <si>
    <t xml:space="preserve">https://mopc.gov.py/servicios/estado-de-las-rutas/</t>
  </si>
  <si>
    <t xml:space="preserve">Medida directa de intransitabilidad y de su relación con la lluvia.</t>
  </si>
  <si>
    <t xml:space="preserve">571 informes únicos (213 días con tabla, 2 ene-17 oct 2026). Los mismos 13 puentes figuran clausurados todo el período (6 en Caazapá, 2 en Caaguazú, 1 en Canindeyú y 1 en San Pedro, varios en caminos de compañías). Las clausuras de tramos varían con la lluvia (sobre todo en el Chaco). Extracción automática: revisar.</t>
  </si>
  <si>
    <t xml:space="preserve">03_red_vial_MOPC/estado_de_rutas_puentes_clausurados_2026</t>
  </si>
  <si>
    <t xml:space="preserve">17</t>
  </si>
  <si>
    <t xml:space="preserve">Inventario por tramo y estado de condición (SPGV)</t>
  </si>
  <si>
    <t xml:space="preserve">MOPC – Planificación Vial</t>
  </si>
  <si>
    <t xml:space="preserve">Base por tramo con estado y transitabilidad.</t>
  </si>
  <si>
    <t xml:space="preserve">Superficie, estado y transitabilidad por tramo.</t>
  </si>
  <si>
    <t xml:space="preserve">Tramo</t>
  </si>
  <si>
    <t xml:space="preserve">Base de datos / SIG</t>
  </si>
  <si>
    <t xml:space="preserve">https://informacionpublica.paraguay.gov.py/</t>
  </si>
  <si>
    <t xml:space="preserve">Mejor medida posible de calidad.</t>
  </si>
  <si>
    <t xml:space="preserve">No está publicado: hay que pedirlo por Ley 5282.</t>
  </si>
  <si>
    <t xml:space="preserve">18</t>
  </si>
  <si>
    <t xml:space="preserve">Rural Access Index (RAI) y accesibilidad por distrito</t>
  </si>
  <si>
    <t xml:space="preserve">HeiGIT (Univ. Heidelberg) vía HDX</t>
  </si>
  <si>
    <t xml:space="preserve">RAI por distrito y grupo de población, población rural, accesibilidad a servicios, exposición a inundaciones, vulnerabilidad.</t>
  </si>
  <si>
    <t xml:space="preserve">RAI_total_pop, rural_access_total_pop, access_pop_*.</t>
  </si>
  <si>
    <t xml:space="preserve">Distrito (ADM2)</t>
  </si>
  <si>
    <t xml:space="preserve">https://data.humdata.org/dataset/paraguay---risk-assessment-indicators</t>
  </si>
  <si>
    <t xml:space="preserve">Operacionaliza directamente 'acceso a camino de todo tiempo' (ODS 9.1.1).</t>
  </si>
  <si>
    <t xml:space="preserve">Usa WorldPop y OSM; 250 de 263 distritos (faltan los 13 más nuevos).</t>
  </si>
  <si>
    <t xml:space="preserve">03_red_vial_MOPC/HeiGIT_indicadores_distritales_RAI_accesibilidad</t>
  </si>
  <si>
    <t xml:space="preserve">19</t>
  </si>
  <si>
    <t xml:space="preserve">Superficie de caminos con IA – Mapillary + OSM (351.735 tramos)</t>
  </si>
  <si>
    <t xml:space="preserve">HeiGIT vía HDX</t>
  </si>
  <si>
    <t xml:space="preserve">Clasifica cada tramo OSM como pavimentado o no pavimentado con fotos de Mapillary y aprendizaje profundo.</t>
  </si>
  <si>
    <t xml:space="preserve">highway, surface, pred_label, combined_surface_*, urban.</t>
  </si>
  <si>
    <t xml:space="preserve">Tramo (vector)</t>
  </si>
  <si>
    <t xml:space="preserve">2024</t>
  </si>
  <si>
    <t xml:space="preserve">GeoPackage (164 MB)</t>
  </si>
  <si>
    <t xml:space="preserve">https://data.humdata.org/dataset/paraguay-road-surface-data</t>
  </si>
  <si>
    <t xml:space="preserve">Capa vectorial para medir km de camino de tierra por distrito o localidad.</t>
  </si>
  <si>
    <t xml:space="preserve">Licencia ODbL.</t>
  </si>
  <si>
    <t xml:space="preserve">03_red_vial_MOPC/HeiGIT_superficie_Mapillary_OSM</t>
  </si>
  <si>
    <t xml:space="preserve">20</t>
  </si>
  <si>
    <t xml:space="preserve">Superficie, ancho y transitabilidad con imágenes Planet (rutas troncales)</t>
  </si>
  <si>
    <t xml:space="preserve">Tipo de superficie 2020 y 2024, cambio de no pavimentado a pavimentado e índice de transitabilidad humanitaria.</t>
  </si>
  <si>
    <t xml:space="preserve">DL_road_class_2020/2024, surface_change_paved, Passability_*.</t>
  </si>
  <si>
    <t xml:space="preserve">Tramo (10.265)</t>
  </si>
  <si>
    <t xml:space="preserve">2020-2024</t>
  </si>
  <si>
    <t xml:space="preserve">GeoPackage</t>
  </si>
  <si>
    <t xml:space="preserve">https://data.humdata.org/dataset/paraguay-planet-road-surface-data</t>
  </si>
  <si>
    <t xml:space="preserve">Mide cambios de pavimentación entre 2020 y 2024 (posible tratamiento).</t>
  </si>
  <si>
    <t xml:space="preserve">Solo cubre rutas troncales, no la red vecinal fina.</t>
  </si>
  <si>
    <t xml:space="preserve">03_red_vial_MOPC/HeiGIT_superficie_y_transitabilidad_Planet</t>
  </si>
  <si>
    <t xml:space="preserve">21</t>
  </si>
  <si>
    <t xml:space="preserve">Red vial OpenStreetMap (HOT)</t>
  </si>
  <si>
    <t xml:space="preserve">HOT / OSM vía HDX</t>
  </si>
  <si>
    <t xml:space="preserve">Todas las vías highway=* con atributos.</t>
  </si>
  <si>
    <t xml:space="preserve">highway, surface, name.</t>
  </si>
  <si>
    <t xml:space="preserve">Oct. 2026</t>
  </si>
  <si>
    <t xml:space="preserve">GeoPackage (zip) + informe de calidad</t>
  </si>
  <si>
    <t xml:space="preserve">https://data.humdata.org/dataset/hotosm_pry_roads</t>
  </si>
  <si>
    <t xml:space="preserve">Red base para calcular distancias.</t>
  </si>
  <si>
    <t xml:space="preserve">La superficie está incompleta en zonas rurales: combinar con HeiGIT.</t>
  </si>
  <si>
    <t xml:space="preserve">03_red_vial_MOPC/OSM_red_vial_HOT</t>
  </si>
  <si>
    <t xml:space="preserve">22</t>
  </si>
  <si>
    <t xml:space="preserve">Llamados públicos de obras viales (DNCP, OCDS)</t>
  </si>
  <si>
    <t xml:space="preserve">DNCP</t>
  </si>
  <si>
    <t xml:space="preserve">Llamados con 'camino', 'caminos', 'enripiado', 'ripio', 'terraplén', 'alcantarilla', 'perfilado' o 'puente' en el título.</t>
  </si>
  <si>
    <t xml:space="preserve">Título, entidad (municipio, gobernación, MOPC), modalidad, estado, proveedor, ocid.</t>
  </si>
  <si>
    <t xml:space="preserve">Proceso / entidad</t>
  </si>
  <si>
    <t xml:space="preserve">2018-2026</t>
  </si>
  <si>
    <t xml:space="preserve">CSV (extraído con la API)</t>
  </si>
  <si>
    <t xml:space="preserve">https://www.contrataciones.gov.py/datos/api/v3/doc/</t>
  </si>
  <si>
    <t xml:space="preserve">Aproxima la inversión en caminos por distrito (incluida la municipal).</t>
  </si>
  <si>
    <t xml:space="preserve">1.794 llamados (1.607 de municipalidades, 49 del MOPC; 199 con 'vecinal' en el título). En 2018-2019 se incluyeron también 'empedrado' y 'cuneta' (después se quitaron porque traen sobre todo calles urbanas): no comparar volúmenes entre años sin filtrar. Los montos están en el enlace OCDS de cada proceso.</t>
  </si>
  <si>
    <t xml:space="preserve">08_contrataciones_DNCP</t>
  </si>
  <si>
    <t xml:space="preserve">23</t>
  </si>
  <si>
    <t xml:space="preserve">Anuarios INE – vialidad y transporte 2019 y 2021</t>
  </si>
  <si>
    <t xml:space="preserve">Cuadros de rutas nacionales, carga y transporte.</t>
  </si>
  <si>
    <t xml:space="preserve">Rutas nacionales y longitud.</t>
  </si>
  <si>
    <t xml:space="preserve">País</t>
  </si>
  <si>
    <t xml:space="preserve">2019-2021</t>
  </si>
  <si>
    <t xml:space="preserve">https://www.datos.gov.py/search/field_topic/transporte-e-infraestructura-1</t>
  </si>
  <si>
    <t xml:space="preserve">Baja</t>
  </si>
  <si>
    <t xml:space="preserve">Contexto.</t>
  </si>
  <si>
    <t xml:space="preserve">No tienen datos de caminos vecinales.</t>
  </si>
  <si>
    <t xml:space="preserve">03_red_vial_MOPC/anuarios_INE_vialidad</t>
  </si>
  <si>
    <t xml:space="preserve">24</t>
  </si>
  <si>
    <t xml:space="preserve">Tiempo de viaje a ciudades y a centros de salud (MAP/Oxford)</t>
  </si>
  <si>
    <t xml:space="preserve">Malaria Atlas Project</t>
  </si>
  <si>
    <t xml:space="preserve">Rásteres globales de fricción y tiempo de viaje.</t>
  </si>
  <si>
    <t xml:space="preserve">Minutos por píxel.</t>
  </si>
  <si>
    <t xml:space="preserve">1 km</t>
  </si>
  <si>
    <t xml:space="preserve">2015/2019</t>
  </si>
  <si>
    <t xml:space="preserve">GeoTIFF / GEE</t>
  </si>
  <si>
    <t xml:space="preserve">https://malariaatlas.org/</t>
  </si>
  <si>
    <t xml:space="preserve">Aislamiento comparable.</t>
  </si>
  <si>
    <t xml:space="preserve">No se descargó: la accesibilidad de HeiGIT lo reemplaza con datos más recientes.</t>
  </si>
  <si>
    <t xml:space="preserve">25</t>
  </si>
  <si>
    <t xml:space="preserve">C. Servicios e instituciones (mecanismo)</t>
  </si>
  <si>
    <t xml:space="preserve">Accesibilidad a escuelas, hospitales y atención primaria</t>
  </si>
  <si>
    <t xml:space="preserve">Población dentro de 5/10/20 km de escuelas y 30/60 min de hospitales y atención primaria, por unidad administrativa.</t>
  </si>
  <si>
    <t xml:space="preserve">access_pop_*.</t>
  </si>
  <si>
    <t xml:space="preserve">ADM1-ADM4</t>
  </si>
  <si>
    <t xml:space="preserve">CSV (formato ancho y largo)</t>
  </si>
  <si>
    <t xml:space="preserve">https://data.humdata.org/dataset/paraguay-accessibility-indicators</t>
  </si>
  <si>
    <t xml:space="preserve">Mide la 'limitación en el acceso a servicios'.</t>
  </si>
  <si>
    <t xml:space="preserve">Las capas GeoPackage (hasta 312 MB) no se bajaron; están en HDX.</t>
  </si>
  <si>
    <t xml:space="preserve">04_servicios_e_instituciones/HeiGIT_accesibilidad_salud_educacion</t>
  </si>
  <si>
    <t xml:space="preserve">26</t>
  </si>
  <si>
    <t xml:space="preserve">Establecimientos de salud MSPBS con coordenadas (datos.gov.py)</t>
  </si>
  <si>
    <t xml:space="preserve">MSPBS (vía datos.gov.py)</t>
  </si>
  <si>
    <t xml:space="preserve">999 establecimientos (hospitales, USF, puestos) con tipo, área y coordenadas.</t>
  </si>
  <si>
    <t xml:space="preserve">región, distrito, tipo, área, latitud, longitud.</t>
  </si>
  <si>
    <t xml:space="preserve">Punto</t>
  </si>
  <si>
    <t xml:space="preserve">~2025</t>
  </si>
  <si>
    <t xml:space="preserve">CSV (separado por ;)</t>
  </si>
  <si>
    <t xml:space="preserve">https://www.datos.gov.py/dataset/estableciminetos-sanitarios</t>
  </si>
  <si>
    <t xml:space="preserve">Distancia desde las localidades rurales al servicio de salud más cercano.</t>
  </si>
  <si>
    <t xml:space="preserve">Las columnas 'latitud' y 'longitud' están invertidas en el origen (latitud = −57…). Usan coma decimal.</t>
  </si>
  <si>
    <t xml:space="preserve">04_servicios_e_instituciones/estableciminetos-sanitarios</t>
  </si>
  <si>
    <t xml:space="preserve">27</t>
  </si>
  <si>
    <t xml:space="preserve">Establecimientos escolares (MEC)</t>
  </si>
  <si>
    <t xml:space="preserve">MEC</t>
  </si>
  <si>
    <t xml:space="preserve">Padrón de instituciones educativas.</t>
  </si>
  <si>
    <t xml:space="preserve">Ubicación, nivel, zona.</t>
  </si>
  <si>
    <t xml:space="preserve">Portal datos.mec.gov.py</t>
  </si>
  <si>
    <t xml:space="preserve">https://datos.mec.gov.py/data/establecimientos</t>
  </si>
  <si>
    <t xml:space="preserve">Distancia a escuelas.</t>
  </si>
  <si>
    <t xml:space="preserve">datos.mec.gov.py no respondió desde el entorno (DNS/conexión). Sustitutos descargados: escuelas OSM y accesibilidad educativa HeiGIT. Bajar a mano.</t>
  </si>
  <si>
    <t xml:space="preserve">28</t>
  </si>
  <si>
    <t xml:space="preserve">Establecimientos de salud, educación, localidades y servicios financieros (OSM HOT) + healthsites.io</t>
  </si>
  <si>
    <t xml:space="preserve">HOT / OSM / Healthsites</t>
  </si>
  <si>
    <t xml:space="preserve">Puntos de interés de OSM.</t>
  </si>
  <si>
    <t xml:space="preserve">Ubicación y tipo.</t>
  </si>
  <si>
    <t xml:space="preserve">GeoPackage, CSV</t>
  </si>
  <si>
    <t xml:space="preserve">https://data.humdata.org/dataset/hotosm_pry_health_facilities</t>
  </si>
  <si>
    <t xml:space="preserve">Complemento a los registros oficiales.</t>
  </si>
  <si>
    <t xml:space="preserve">La cobertura rural es desigual.</t>
  </si>
  <si>
    <t xml:space="preserve">04_servicios_e_instituciones/OSM_HOT_* ; healthsites_io</t>
  </si>
  <si>
    <t xml:space="preserve">29</t>
  </si>
  <si>
    <t xml:space="preserve">D. Producción y comercialización</t>
  </si>
  <si>
    <t xml:space="preserve">Censo Agropecuario Nacional 2022 – tablas (datos.gov.py)</t>
  </si>
  <si>
    <t xml:space="preserve">MAG</t>
  </si>
  <si>
    <t xml:space="preserve">Tablas del CAN 2022.</t>
  </si>
  <si>
    <t xml:space="preserve">79 cuadros; Cuadro 76: fincas por destino de venta; Cuadros 69-70: asistencia técnica y crédito; Cuadro 77: acceso a información.</t>
  </si>
  <si>
    <t xml:space="preserve">Departamento × tamaño de finca</t>
  </si>
  <si>
    <t xml:space="preserve">XLSX</t>
  </si>
  <si>
    <t xml:space="preserve">https://www.datos.gov.py/dataset/censo-agropecuario-nacional-can-2022</t>
  </si>
  <si>
    <t xml:space="preserve">Mecanismo de comercialización.</t>
  </si>
  <si>
    <t xml:space="preserve">Los microdatos se piden a censo@mag.gov.py (catálogo FAO PRY_2022_CAN).</t>
  </si>
  <si>
    <t xml:space="preserve">06_produccion_CAN_2022</t>
  </si>
  <si>
    <t xml:space="preserve">30</t>
  </si>
  <si>
    <t xml:space="preserve">CAN 2022 – Atlas de la producción, presentación y límites (geoportal MAG)</t>
  </si>
  <si>
    <t xml:space="preserve">MAG – geoportal ArcGIS</t>
  </si>
  <si>
    <t xml:space="preserve">Atlas de 229 páginas, presentación oficial, shapefile departamental.</t>
  </si>
  <si>
    <t xml:space="preserve">Producción por rubro y territorio.</t>
  </si>
  <si>
    <t xml:space="preserve">Departamento / distrito</t>
  </si>
  <si>
    <t xml:space="preserve">PDF, PPTX, SHP</t>
  </si>
  <si>
    <t xml:space="preserve">https://portal.gis.mag.gov.py/arcgis/apps/sites/#/geoportal</t>
  </si>
  <si>
    <t xml:space="preserve">Caracterización productiva de los distritos foco.</t>
  </si>
  <si>
    <t xml:space="preserve">06_produccion_CAN_2022/geoportal_MAG</t>
  </si>
  <si>
    <t xml:space="preserve">31</t>
  </si>
  <si>
    <t xml:space="preserve">E. Clima y contexto (controles)</t>
  </si>
  <si>
    <t xml:space="preserve">Lluvia CHIRPS por departamento y distrito (decádica)</t>
  </si>
  <si>
    <t xml:space="preserve">WFP vía HDX</t>
  </si>
  <si>
    <t xml:space="preserve">Lluvia cada 10 días y anomalías, 1981-2026.</t>
  </si>
  <si>
    <t xml:space="preserve">rfh, rfh_avg, r1h, r3h, rfq por PCODE.</t>
  </si>
  <si>
    <t xml:space="preserve">1981-2026</t>
  </si>
  <si>
    <t xml:space="preserve">CSV (47 MB)</t>
  </si>
  <si>
    <t xml:space="preserve">https://data.humdata.org/dataset/pry-rainfall-subnational</t>
  </si>
  <si>
    <t xml:space="preserve">Control o instrumento de transitabilidad de caminos de tierra; se puede cruzar con los informes diarios de clausuras.</t>
  </si>
  <si>
    <t xml:space="preserve">El PCODE coincide con el código INE (PY + dpto + distrito).</t>
  </si>
  <si>
    <t xml:space="preserve">07_clima_y_contexto/lluvia_CHIRPS_subnacional_WFP</t>
  </si>
  <si>
    <t xml:space="preserve">32</t>
  </si>
  <si>
    <t xml:space="preserve">Índice de riqueza relativa (Meta)</t>
  </si>
  <si>
    <t xml:space="preserve">Meta – Data for Good vía HDX</t>
  </si>
  <si>
    <t xml:space="preserve">Riqueza relativa estimada en celdas de unos 2,4 km.</t>
  </si>
  <si>
    <t xml:space="preserve">rwi, error, lat/lon.</t>
  </si>
  <si>
    <t xml:space="preserve">Celda</t>
  </si>
  <si>
    <t xml:space="preserve">2021</t>
  </si>
  <si>
    <t xml:space="preserve">https://data.humdata.org/dataset/relative-wealth-index</t>
  </si>
  <si>
    <t xml:space="preserve">Resultado alternativo con alta resolución espacial.</t>
  </si>
  <si>
    <t xml:space="preserve">Hay que agregarlo espacialmente a distrito o localidad.</t>
  </si>
  <si>
    <t xml:space="preserve">07_clima_y_contexto/indice_riqueza_relativa_Meta</t>
  </si>
  <si>
    <t xml:space="preserve">33</t>
  </si>
  <si>
    <t xml:space="preserve">Población grillada WorldPop 2020 (restringida, ajustada a ONU)</t>
  </si>
  <si>
    <t xml:space="preserve">WorldPop</t>
  </si>
  <si>
    <t xml:space="preserve">Población a 100 m.</t>
  </si>
  <si>
    <t xml:space="preserve">Población por píxel.</t>
  </si>
  <si>
    <t xml:space="preserve">100 m</t>
  </si>
  <si>
    <t xml:space="preserve">2020</t>
  </si>
  <si>
    <t xml:space="preserve">GeoTIFF</t>
  </si>
  <si>
    <t xml:space="preserve">https://data.worldpop.org/</t>
  </si>
  <si>
    <t xml:space="preserve">Insumo para recalcular el RAI.</t>
  </si>
  <si>
    <t xml:space="preserve">Las versiones no restringidas (unos 200 MB por año) están en HDX.</t>
  </si>
  <si>
    <t xml:space="preserve">07_clima_y_contexto/poblacion_WorldPop</t>
  </si>
  <si>
    <t xml:space="preserve">34</t>
  </si>
  <si>
    <t xml:space="preserve">Precipitación diaria por estación</t>
  </si>
  <si>
    <t xml:space="preserve">DINAC – Meteorología</t>
  </si>
  <si>
    <t xml:space="preserve">Series diarias por estación.</t>
  </si>
  <si>
    <t xml:space="preserve">mm/día.</t>
  </si>
  <si>
    <t xml:space="preserve">Estación</t>
  </si>
  <si>
    <t xml:space="preserve">Histórico</t>
  </si>
  <si>
    <t xml:space="preserve">A pedido</t>
  </si>
  <si>
    <t xml:space="preserve">https://www.meteorologia.gov.py/</t>
  </si>
  <si>
    <t xml:space="preserve">Validación de CHIRPS.</t>
  </si>
  <si>
    <t xml:space="preserve">Solo a pedido.</t>
  </si>
  <si>
    <t xml:space="preserve">35</t>
  </si>
  <si>
    <t xml:space="preserve">F. Evaluaciones y estudios previos</t>
  </si>
  <si>
    <t xml:space="preserve">Evaluación de impacto PMCV – línea de base (BID)</t>
  </si>
  <si>
    <t xml:space="preserve">BID</t>
  </si>
  <si>
    <t xml:space="preserve">3.000 hogares y 179 comunidades en Alto Paraná, Caaguazú, Canindeyú y San Pedro.</t>
  </si>
  <si>
    <t xml:space="preserve">Ingresos, acceso a servicios, transitabilidad.</t>
  </si>
  <si>
    <t xml:space="preserve">Hogar / comunidad</t>
  </si>
  <si>
    <t xml:space="preserve">~2012-2014</t>
  </si>
  <si>
    <t xml:space="preserve">PDF; microdatos a pedido</t>
  </si>
  <si>
    <t xml:space="preserve">https://publications.iadb.org/en/node/19880</t>
  </si>
  <si>
    <t xml:space="preserve">Antecedente directo y posible fuente causal.</t>
  </si>
  <si>
    <t xml:space="preserve">publications.iadb.org bloquea descargas automáticas (403): bajar a mano y pedir los microdatos.</t>
  </si>
  <si>
    <t xml:space="preserve">36</t>
  </si>
  <si>
    <t xml:space="preserve">Evaluación ex post – caminos vecinales y puentes (CAF)</t>
  </si>
  <si>
    <t xml:space="preserve">CAF</t>
  </si>
  <si>
    <t xml:space="preserve">Evaluación de 2024 de un proyecto del MOPC en la Región Oriental.</t>
  </si>
  <si>
    <t xml:space="preserve">Tramos y efectos.</t>
  </si>
  <si>
    <t xml:space="preserve">Proyecto</t>
  </si>
  <si>
    <t xml:space="preserve">https://www.caf.com/media/4672388/eval-expost-paraguay-caminos-vecinales-y-puentes.pdf</t>
  </si>
  <si>
    <t xml:space="preserve">Lista de tramos intervenidos.</t>
  </si>
  <si>
    <t xml:space="preserve">caf.com bloqueó el acceso desde el entorno: bajar a mano.</t>
  </si>
  <si>
    <t xml:space="preserve">37</t>
  </si>
  <si>
    <t xml:space="preserve">Documentos BID de programas viales (inventario 2018, PMCV II)</t>
  </si>
  <si>
    <t xml:space="preserve">Inventario por superficie 2018 y listas de obras.</t>
  </si>
  <si>
    <t xml:space="preserve">Km por superficie.</t>
  </si>
  <si>
    <t xml:space="preserve">Departamento / tramo</t>
  </si>
  <si>
    <t xml:space="preserve">2010-2019</t>
  </si>
  <si>
    <t xml:space="preserve">https://ewsdata.rightsindevelopment.org/files/documents/64/IADB-PR-L1164_fhNOJJp.pdf</t>
  </si>
  <si>
    <t xml:space="preserve">Serie histórica.</t>
  </si>
  <si>
    <t xml:space="preserve">No se descargó.</t>
  </si>
  <si>
    <t xml:space="preserve">38</t>
  </si>
  <si>
    <t xml:space="preserve">G. Cartografía y códigos</t>
  </si>
  <si>
    <t xml:space="preserve">Cartografía censal 2022 (SHP) – país y departamentos foco</t>
  </si>
  <si>
    <t xml:space="preserve">Capas del marco censal 2022 (departamentos, distritos, localidades/manzanas según la capa).</t>
  </si>
  <si>
    <t xml:space="preserve">Geometrías con códigos INE.</t>
  </si>
  <si>
    <t xml:space="preserve">Hasta localidad</t>
  </si>
  <si>
    <t xml:space="preserve">SHP comprimido en RAR</t>
  </si>
  <si>
    <t xml:space="preserve">https://www.ine.gov.py/microdatos/cartografia-digital-2022.php</t>
  </si>
  <si>
    <t xml:space="preserve">Base para unir censo, caminos y servicios.</t>
  </si>
  <si>
    <t xml:space="preserve">Están en RAR: descomprimir con 7-Zip o unrar. También hay GeoJSON y KML en el portal.</t>
  </si>
  <si>
    <t xml:space="preserve">05_cartografia_y_codigos/cartografia_censal_2022_SHP</t>
  </si>
  <si>
    <t xml:space="preserve">39</t>
  </si>
  <si>
    <t xml:space="preserve">Códigos geográficos INE 2022 y 2012</t>
  </si>
  <si>
    <t xml:space="preserve">Listas de departamentos, distritos y barrios/localidades.</t>
  </si>
  <si>
    <t xml:space="preserve">Códigos.</t>
  </si>
  <si>
    <t xml:space="preserve">Localidad</t>
  </si>
  <si>
    <t xml:space="preserve">2012/2022</t>
  </si>
  <si>
    <t xml:space="preserve">XLSX, CSV</t>
  </si>
  <si>
    <t xml:space="preserve">https://www.ine.gov.py/microdatos/codigo-geografico-2022.php</t>
  </si>
  <si>
    <t xml:space="preserve">Claves de unión.</t>
  </si>
  <si>
    <t xml:space="preserve">Incluye los códigos de barrios y localidades 2022 (clave para unir con la cartografía censal).</t>
  </si>
  <si>
    <t xml:space="preserve">05_cartografia_y_codigos</t>
  </si>
  <si>
    <t xml:space="preserve">40</t>
  </si>
  <si>
    <t xml:space="preserve">Límites administrativos COD-AB (OCHA) niveles 0-4</t>
  </si>
  <si>
    <t xml:space="preserve">OCHA vía HDX</t>
  </si>
  <si>
    <t xml:space="preserve">Límites hasta nivel 4 con P-codes (P-code = PY + código INE).</t>
  </si>
  <si>
    <t xml:space="preserve">adm2_pcode, adm3, adm4.</t>
  </si>
  <si>
    <t xml:space="preserve">Hasta ADM4</t>
  </si>
  <si>
    <t xml:space="preserve">XLSX (las geometrías SHP/GDB están en HDX)</t>
  </si>
  <si>
    <t xml:space="preserve">https://data.humdata.org/dataset/cod-ab-pry</t>
  </si>
  <si>
    <t xml:space="preserve">Une HeiGIT, CHIRPS y datos INE.</t>
  </si>
  <si>
    <t xml:space="preserve">05_cartografia_y_codigos/COD-AB_OCHA_limites_admin</t>
  </si>
  <si>
    <t xml:space="preserve">41</t>
  </si>
  <si>
    <t xml:space="preserve">GeoJSON de departamentos, distritos y barrios (datos.gov.py)</t>
  </si>
  <si>
    <t xml:space="preserve">Límites listos para usar.</t>
  </si>
  <si>
    <t xml:space="preserve">Geometrías.</t>
  </si>
  <si>
    <t xml:space="preserve">Distrito/barrio</t>
  </si>
  <si>
    <t xml:space="preserve">~2023</t>
  </si>
  <si>
    <t xml:space="preserve">GeoJSON</t>
  </si>
  <si>
    <t xml:space="preserve">https://www.datos.gov.py/dataset/base-de-datos-geojson-geoespacial-de-departamentos-distritos-ciudades-y-barrios-de-todo-el</t>
  </si>
  <si>
    <t xml:space="preserve">Mapas rápidos.</t>
  </si>
  <si>
    <t xml:space="preserve">42</t>
  </si>
  <si>
    <t xml:space="preserve">Luces nocturnas VIIRS anuales (VNL V2) 2012-2024 – recorte Paraguay y suma por distrito</t>
  </si>
  <si>
    <t xml:space="preserve">Payne Institute / EOG (Colorado School of Mines), copia en Zenodo (T. Hengl)</t>
  </si>
  <si>
    <t xml:space="preserve">Compuestos anuales de radiancia nocturna a 500 m, recortados a Paraguay, más una tabla con suma, media y % de píxeles iluminados por distrito y año.</t>
  </si>
  <si>
    <t xml:space="preserve">luz_suma, luz_media, pct_pixeles_iluminados por distrito (263) y año (2012-2024).</t>
  </si>
  <si>
    <t xml:space="preserve">Píxel 500 m; distrito</t>
  </si>
  <si>
    <t xml:space="preserve">2012-2024 (anual)</t>
  </si>
  <si>
    <t xml:space="preserve">GeoTIFF (13) + CSV</t>
  </si>
  <si>
    <t xml:space="preserve">https://zenodo.org/records/17294744</t>
  </si>
  <si>
    <t xml:space="preserve">Resultado anual por distrito (actividad económica / electrificación): es la variable que hace posible el diseño de diferencias en diferencias escalonado. En los distritos foco, la luz por habitante 2022 se correlaciona con el IPM rural (ρ = −0,48).</t>
  </si>
  <si>
    <t xml:space="preserve">La copia de Zenodo guarda 2012-2021 multiplicado por 10 y 2022-2024 sin multiplicar: se armonizó a nW/cm²/sr. Valores enteros (precisión 1 nW): la luz rural muy tenue queda en 0. 2012 cubre abr-dic. Hay píxeles atípicos (incendios) en 2012 y 2018. Para más precisión, bajar el producto original (decimal) con una cuenta gratuita en eogdata.mines.edu.</t>
  </si>
  <si>
    <t xml:space="preserve">07_clima_y_contexto/luces_nocturnas_VIIRS</t>
  </si>
  <si>
    <t xml:space="preserve">Qué pedir</t>
  </si>
  <si>
    <t xml:space="preserve">Para qué</t>
  </si>
  <si>
    <t xml:space="preserve">Canal</t>
  </si>
  <si>
    <t xml:space="preserve">Estado (completar)</t>
  </si>
  <si>
    <t xml:space="preserve">Capa SIG (SHP/GPKG) del inventario vial por tramo con superficie, estado de condición y transitabilidad (SPGV), corte dic. 2025 y cortes históricos.</t>
  </si>
  <si>
    <t xml:space="preserve">Variable explicativa por tramo; los PDF publicados no traen geometría.</t>
  </si>
  <si>
    <t xml:space="preserve">informacionpublica.paraguay.gov.py (Ley 5282)</t>
  </si>
  <si>
    <t xml:space="preserve">Pendiente</t>
  </si>
  <si>
    <t xml:space="preserve">MOPC – Caminos Vecinales</t>
  </si>
  <si>
    <t xml:space="preserve">Listado georreferenciado de tramos vecinales intervenidos por año desde 2015.</t>
  </si>
  <si>
    <t xml:space="preserve">Diseño antes/después.</t>
  </si>
  <si>
    <t xml:space="preserve">Ley 5282</t>
  </si>
  <si>
    <t xml:space="preserve">MOPC – Radiocomunicaciones</t>
  </si>
  <si>
    <t xml:space="preserve">Serie histórica (2018-2025) de los informes diarios de puentes y rutas clausurados, idealmente en planilla.</t>
  </si>
  <si>
    <t xml:space="preserve">Panel de intransitabilidad.</t>
  </si>
  <si>
    <t xml:space="preserve">Cuadro de pobreza monetaria distrital (el enlace de datos.gov.py da 404); acceso a microdatos censales por localidad.</t>
  </si>
  <si>
    <t xml:space="preserve">Resultado monetario distrital; unión espacial fina.</t>
  </si>
  <si>
    <t xml:space="preserve">info@ine.gov.py / Ley 5282</t>
  </si>
  <si>
    <t xml:space="preserve">Microdatos anonimizados o tabulados distritales del CAN 2022 sobre destino de la producción y acceso a mercados.</t>
  </si>
  <si>
    <t xml:space="preserve">censo@mag.gov.py</t>
  </si>
  <si>
    <t xml:space="preserve">Microdatos de la línea de base y del seguimiento de la evaluación del PMCV.</t>
  </si>
  <si>
    <t xml:space="preserve">Evidencia causal.</t>
  </si>
  <si>
    <t xml:space="preserve">Representación del BID en Paraguay</t>
  </si>
  <si>
    <t xml:space="preserve">Registro como usuario para usar la API con clave (más de 15 consultas por minuto) o descarga masiva de CSV.</t>
  </si>
  <si>
    <t xml:space="preserve">Completar la extracción de contratos viales.</t>
  </si>
  <si>
    <t xml:space="preserve">contrataciones.gov.py/datos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</si>
</sst>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A9D08E"/>
        <bgColor rgb="FFBFBFBF"/>
      </patternFill>
    </fill>
    <fill>
      <patternFill patternType="solid">
        <fgColor rgb="FFFFF2CC"/>
        <bgColor rgb="FFF2F2F2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F2F2F2"/>
      </patternFill>
    </fill>
    <fill>
      <patternFill patternType="solid">
        <fgColor rgb="FFF8CBAD"/>
        <bgColor rgb="FFD9D9D9"/>
      </patternFill>
    </fill>
    <fill>
      <patternFill patternType="solid">
        <fgColor rgb="FFF2F2F2"/>
        <bgColor rgb="FFDDEBF7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A9D08E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e.gov.py/microdatos/" TargetMode="External"/><Relationship Id="rId2" Type="http://schemas.openxmlformats.org/officeDocument/2006/relationships/hyperlink" Target="https://www.ine.gov.py/microdatos/" TargetMode="External"/><Relationship Id="rId3" Type="http://schemas.openxmlformats.org/officeDocument/2006/relationships/hyperlink" Target="https://www.ine.gov.py/microdatos/" TargetMode="External"/><Relationship Id="rId4" Type="http://schemas.openxmlformats.org/officeDocument/2006/relationships/hyperlink" Target="https://www.ine.gov.py/microdatos/" TargetMode="External"/><Relationship Id="rId5" Type="http://schemas.openxmlformats.org/officeDocument/2006/relationships/hyperlink" Target="https://www.ine.gov.py/publicacion/4/pobreza" TargetMode="External"/><Relationship Id="rId6" Type="http://schemas.openxmlformats.org/officeDocument/2006/relationships/hyperlink" Target="https://www.datos.gov.py/dataset/mapa-de-pobreza-monetaria-distrital" TargetMode="External"/><Relationship Id="rId7" Type="http://schemas.openxmlformats.org/officeDocument/2006/relationships/hyperlink" Target="https://www.datos.gov.py/dataset/indice-de-pobreza-multidimensional-distrital" TargetMode="External"/><Relationship Id="rId8" Type="http://schemas.openxmlformats.org/officeDocument/2006/relationships/hyperlink" Target="https://www.datos.gov.py/dataset/resultados-finales-del-censo-nacional-de-poblaci&#243;n-y-viviendas-2022" TargetMode="External"/><Relationship Id="rId9" Type="http://schemas.openxmlformats.org/officeDocument/2006/relationships/hyperlink" Target="https://www.datos.gov.py/" TargetMode="External"/><Relationship Id="rId10" Type="http://schemas.openxmlformats.org/officeDocument/2006/relationships/hyperlink" Target="https://redatam.org/es/procesar-en-linea/censos/pobviv" TargetMode="External"/><Relationship Id="rId11" Type="http://schemas.openxmlformats.org/officeDocument/2006/relationships/hyperlink" Target="https://mopc.gov.py/red-vial/" TargetMode="External"/><Relationship Id="rId12" Type="http://schemas.openxmlformats.org/officeDocument/2006/relationships/hyperlink" Target="https://mopc.gov.py/red-vial/" TargetMode="External"/><Relationship Id="rId13" Type="http://schemas.openxmlformats.org/officeDocument/2006/relationships/hyperlink" Target="https://mopc.gov.py/red-vial/" TargetMode="External"/><Relationship Id="rId14" Type="http://schemas.openxmlformats.org/officeDocument/2006/relationships/hyperlink" Target="https://mopc.gov.py/servicios/estado-de-las-rutas/" TargetMode="External"/><Relationship Id="rId15" Type="http://schemas.openxmlformats.org/officeDocument/2006/relationships/hyperlink" Target="https://informacionpublica.paraguay.gov.py/" TargetMode="External"/><Relationship Id="rId16" Type="http://schemas.openxmlformats.org/officeDocument/2006/relationships/hyperlink" Target="https://data.humdata.org/dataset/paraguay---risk-assessment-indicators" TargetMode="External"/><Relationship Id="rId17" Type="http://schemas.openxmlformats.org/officeDocument/2006/relationships/hyperlink" Target="https://data.humdata.org/dataset/paraguay-road-surface-data" TargetMode="External"/><Relationship Id="rId18" Type="http://schemas.openxmlformats.org/officeDocument/2006/relationships/hyperlink" Target="https://data.humdata.org/dataset/paraguay-planet-road-surface-data" TargetMode="External"/><Relationship Id="rId19" Type="http://schemas.openxmlformats.org/officeDocument/2006/relationships/hyperlink" Target="https://data.humdata.org/dataset/hotosm_pry_roads" TargetMode="External"/><Relationship Id="rId20" Type="http://schemas.openxmlformats.org/officeDocument/2006/relationships/hyperlink" Target="https://www.contrataciones.gov.py/datos/api/v3/doc/" TargetMode="External"/><Relationship Id="rId21" Type="http://schemas.openxmlformats.org/officeDocument/2006/relationships/hyperlink" Target="https://www.datos.gov.py/search/field_topic/transporte-e-infraestructura-1" TargetMode="External"/><Relationship Id="rId22" Type="http://schemas.openxmlformats.org/officeDocument/2006/relationships/hyperlink" Target="https://malariaatlas.org/" TargetMode="External"/><Relationship Id="rId23" Type="http://schemas.openxmlformats.org/officeDocument/2006/relationships/hyperlink" Target="https://data.humdata.org/dataset/paraguay-accessibility-indicators" TargetMode="External"/><Relationship Id="rId24" Type="http://schemas.openxmlformats.org/officeDocument/2006/relationships/hyperlink" Target="https://www.datos.gov.py/dataset/estableciminetos-sanitarios" TargetMode="External"/><Relationship Id="rId25" Type="http://schemas.openxmlformats.org/officeDocument/2006/relationships/hyperlink" Target="https://datos.mec.gov.py/data/establecimientos" TargetMode="External"/><Relationship Id="rId26" Type="http://schemas.openxmlformats.org/officeDocument/2006/relationships/hyperlink" Target="https://data.humdata.org/dataset/hotosm_pry_health_facilities" TargetMode="External"/><Relationship Id="rId27" Type="http://schemas.openxmlformats.org/officeDocument/2006/relationships/hyperlink" Target="https://www.datos.gov.py/dataset/censo-agropecuario-nacional-can-2022" TargetMode="External"/><Relationship Id="rId28" Type="http://schemas.openxmlformats.org/officeDocument/2006/relationships/hyperlink" Target="https://portal.gis.mag.gov.py/arcgis/apps/sites/" TargetMode="External"/><Relationship Id="rId29" Type="http://schemas.openxmlformats.org/officeDocument/2006/relationships/hyperlink" Target="https://data.humdata.org/dataset/pry-rainfall-subnational" TargetMode="External"/><Relationship Id="rId30" Type="http://schemas.openxmlformats.org/officeDocument/2006/relationships/hyperlink" Target="https://data.humdata.org/dataset/relative-wealth-index" TargetMode="External"/><Relationship Id="rId31" Type="http://schemas.openxmlformats.org/officeDocument/2006/relationships/hyperlink" Target="https://data.worldpop.org/" TargetMode="External"/><Relationship Id="rId32" Type="http://schemas.openxmlformats.org/officeDocument/2006/relationships/hyperlink" Target="https://www.meteorologia.gov.py/" TargetMode="External"/><Relationship Id="rId33" Type="http://schemas.openxmlformats.org/officeDocument/2006/relationships/hyperlink" Target="https://publications.iadb.org/en/node/19880" TargetMode="External"/><Relationship Id="rId34" Type="http://schemas.openxmlformats.org/officeDocument/2006/relationships/hyperlink" Target="https://www.caf.com/media/4672388/eval-expost-paraguay-caminos-vecinales-y-puentes.pdf" TargetMode="External"/><Relationship Id="rId35" Type="http://schemas.openxmlformats.org/officeDocument/2006/relationships/hyperlink" Target="https://ewsdata.rightsindevelopment.org/files/documents/64/IADB-PR-L1164_fhNOJJp.pdf" TargetMode="External"/><Relationship Id="rId36" Type="http://schemas.openxmlformats.org/officeDocument/2006/relationships/hyperlink" Target="https://www.ine.gov.py/microdatos/cartografia-digital-2022.php" TargetMode="External"/><Relationship Id="rId37" Type="http://schemas.openxmlformats.org/officeDocument/2006/relationships/hyperlink" Target="https://www.ine.gov.py/microdatos/codigo-geografico-2022.php" TargetMode="External"/><Relationship Id="rId38" Type="http://schemas.openxmlformats.org/officeDocument/2006/relationships/hyperlink" Target="https://data.humdata.org/dataset/cod-ab-pry" TargetMode="External"/><Relationship Id="rId39" Type="http://schemas.openxmlformats.org/officeDocument/2006/relationships/hyperlink" Target="https://www.datos.gov.py/dataset/base-de-datos-geojson-geoespacial-de-departamentos-distritos-ciudades-y-barrios-de-todo-el" TargetMode="External"/><Relationship Id="rId40" Type="http://schemas.openxmlformats.org/officeDocument/2006/relationships/hyperlink" Target="https://zenodo.org/records/17294744" TargetMode="External"/><Relationship Id="rId4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05"/>
  </cols>
  <sheetData>
    <row r="1" customFormat="false" ht="79.5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4"/>
      <c r="B2" s="3"/>
    </row>
    <row r="3" customFormat="false" ht="23.25" hidden="false" customHeight="true" outlineLevel="0" collapsed="false">
      <c r="A3" s="4" t="s">
        <v>1</v>
      </c>
      <c r="B3" s="3" t="s">
        <v>2</v>
      </c>
    </row>
    <row r="4" customFormat="false" ht="23.25" hidden="false" customHeight="true" outlineLevel="0" collapsed="false">
      <c r="A4" s="4" t="s">
        <v>3</v>
      </c>
      <c r="B4" s="3" t="s">
        <v>4</v>
      </c>
    </row>
    <row r="5" customFormat="false" ht="23.25" hidden="false" customHeight="true" outlineLevel="0" collapsed="false">
      <c r="A5" s="4" t="s">
        <v>5</v>
      </c>
      <c r="B5" s="3" t="s">
        <v>6</v>
      </c>
    </row>
    <row r="6" customFormat="false" ht="15" hidden="false" customHeight="true" outlineLevel="0" collapsed="false">
      <c r="A6" s="4" t="s">
        <v>7</v>
      </c>
      <c r="B6" s="3" t="s">
        <v>8</v>
      </c>
    </row>
    <row r="7" customFormat="false" ht="15" hidden="false" customHeight="true" outlineLevel="0" collapsed="false">
      <c r="A7" s="4"/>
      <c r="B7" s="3"/>
    </row>
    <row r="8" customFormat="false" ht="15" hidden="false" customHeight="true" outlineLevel="0" collapsed="false">
      <c r="A8" s="5" t="s">
        <v>9</v>
      </c>
      <c r="B8" s="3"/>
    </row>
    <row r="9" customFormat="false" ht="15" hidden="false" customHeight="true" outlineLevel="0" collapsed="false">
      <c r="A9" s="4" t="s">
        <v>10</v>
      </c>
      <c r="B9" s="3" t="n">
        <f aca="false">COUNTIF(Catálogo!N:N,"Descargado y procesado")</f>
        <v>8</v>
      </c>
    </row>
    <row r="10" customFormat="false" ht="15" hidden="false" customHeight="true" outlineLevel="0" collapsed="false">
      <c r="A10" s="4" t="s">
        <v>11</v>
      </c>
      <c r="B10" s="3" t="n">
        <f aca="false">COUNTIF(Catálogo!N:N,"Descargado")</f>
        <v>25</v>
      </c>
    </row>
    <row r="11" customFormat="false" ht="15" hidden="false" customHeight="true" outlineLevel="0" collapsed="false">
      <c r="A11" s="4" t="s">
        <v>12</v>
      </c>
      <c r="B11" s="3" t="n">
        <f aca="false">COUNTIF(Catálogo!N:N,"Parcial")</f>
        <v>1</v>
      </c>
    </row>
    <row r="12" customFormat="false" ht="15" hidden="false" customHeight="true" outlineLevel="0" collapsed="false">
      <c r="A12" s="4" t="s">
        <v>13</v>
      </c>
      <c r="B12" s="3" t="n">
        <f aca="false">COUNTIF(Catálogo!N:N,"Requiere pedido")</f>
        <v>2</v>
      </c>
    </row>
    <row r="13" customFormat="false" ht="15" hidden="false" customHeight="true" outlineLevel="0" collapsed="false">
      <c r="A13" s="4" t="s">
        <v>14</v>
      </c>
      <c r="B13" s="3" t="n">
        <f aca="false">COUNTIF(Catálogo!N:N,"No disponible")</f>
        <v>3</v>
      </c>
    </row>
    <row r="14" customFormat="false" ht="15" hidden="false" customHeight="true" outlineLevel="0" collapsed="false">
      <c r="A14" s="4" t="s">
        <v>15</v>
      </c>
      <c r="B14" s="3" t="n">
        <f aca="false">COUNTIF(Catálogo!N:N,"En línea (no descargable)")</f>
        <v>3</v>
      </c>
    </row>
    <row r="15" customFormat="false" ht="15" hidden="false" customHeight="true" outlineLevel="0" collapsed="false">
      <c r="A15" s="4" t="s">
        <v>16</v>
      </c>
      <c r="B15" s="3" t="n">
        <f aca="false">COUNTA(Catálogo!A:A)-1</f>
        <v>42</v>
      </c>
    </row>
    <row r="16" customFormat="false" ht="15" hidden="false" customHeight="true" outlineLevel="0" collapsed="false">
      <c r="A16" s="4"/>
      <c r="B16" s="3"/>
    </row>
    <row r="17" customFormat="false" ht="15" hidden="false" customHeight="true" outlineLevel="0" collapsed="false">
      <c r="A17" s="5" t="s">
        <v>17</v>
      </c>
      <c r="B17" s="3"/>
    </row>
    <row r="18" customFormat="false" ht="23.25" hidden="false" customHeight="true" outlineLevel="0" collapsed="false">
      <c r="A18" s="4" t="s">
        <v>18</v>
      </c>
      <c r="B18" s="3" t="s">
        <v>19</v>
      </c>
    </row>
    <row r="19" customFormat="false" ht="23.25" hidden="false" customHeight="true" outlineLevel="0" collapsed="false">
      <c r="A19" s="4" t="s">
        <v>20</v>
      </c>
      <c r="B19" s="3" t="s">
        <v>21</v>
      </c>
    </row>
    <row r="20" customFormat="false" ht="23.25" hidden="false" customHeight="true" outlineLevel="0" collapsed="false">
      <c r="A20" s="4" t="s">
        <v>22</v>
      </c>
      <c r="B20" s="3" t="s">
        <v>23</v>
      </c>
    </row>
    <row r="21" customFormat="false" ht="15" hidden="false" customHeight="true" outlineLevel="0" collapsed="false">
      <c r="A21" s="4" t="s">
        <v>24</v>
      </c>
      <c r="B21" s="3" t="s">
        <v>25</v>
      </c>
    </row>
    <row r="22" customFormat="false" ht="23.25" hidden="false" customHeight="true" outlineLevel="0" collapsed="false">
      <c r="A22" s="4" t="s">
        <v>26</v>
      </c>
      <c r="B22" s="3" t="s">
        <v>27</v>
      </c>
    </row>
    <row r="23" customFormat="false" ht="23.25" hidden="false" customHeight="true" outlineLevel="0" collapsed="false">
      <c r="A23" s="4" t="s">
        <v>28</v>
      </c>
      <c r="B23" s="3" t="s">
        <v>29</v>
      </c>
    </row>
    <row r="24" customFormat="false" ht="15" hidden="false" customHeight="true" outlineLevel="0" collapsed="false">
      <c r="A24" s="4"/>
      <c r="B24" s="3"/>
    </row>
    <row r="25" customFormat="false" ht="15" hidden="false" customHeight="true" outlineLevel="0" collapsed="false">
      <c r="A25" s="5" t="s">
        <v>30</v>
      </c>
      <c r="B25" s="3"/>
    </row>
    <row r="26" customFormat="false" ht="15" hidden="false" customHeight="true" outlineLevel="0" collapsed="false">
      <c r="A26" s="4" t="s">
        <v>31</v>
      </c>
      <c r="B26" s="3" t="s">
        <v>32</v>
      </c>
    </row>
    <row r="27" customFormat="false" ht="15" hidden="false" customHeight="true" outlineLevel="0" collapsed="false">
      <c r="A27" s="4" t="s">
        <v>33</v>
      </c>
      <c r="B27" s="3" t="s">
        <v>34</v>
      </c>
    </row>
    <row r="28" customFormat="false" ht="15" hidden="false" customHeight="true" outlineLevel="0" collapsed="false">
      <c r="A28" s="4" t="s">
        <v>35</v>
      </c>
      <c r="B28" s="3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18"/>
    <col collapsed="false" customWidth="true" hidden="false" outlineLevel="0" max="5" min="5" style="1" width="46"/>
    <col collapsed="false" customWidth="true" hidden="false" outlineLevel="0" max="6" min="6" style="1" width="50"/>
    <col collapsed="false" customWidth="true" hidden="false" outlineLevel="0" max="7" min="7" style="1" width="20"/>
    <col collapsed="false" customWidth="true" hidden="false" outlineLevel="0" max="8" min="8" style="1" width="15"/>
    <col collapsed="false" customWidth="true" hidden="false" outlineLevel="0" max="9" min="9" style="1" width="16"/>
    <col collapsed="false" customWidth="true" hidden="false" outlineLevel="0" max="10" min="10" style="1" width="42"/>
    <col collapsed="false" customWidth="true" hidden="false" outlineLevel="0" max="11" min="11" style="1" width="10"/>
    <col collapsed="false" customWidth="true" hidden="false" outlineLevel="0" max="12" min="12" style="1" width="44"/>
    <col collapsed="false" customWidth="true" hidden="false" outlineLevel="0" max="13" min="13" style="1" width="48"/>
    <col collapsed="false" customWidth="true" hidden="false" outlineLevel="0" max="14" min="14" style="1" width="16"/>
    <col collapsed="false" customWidth="true" hidden="false" outlineLevel="0" max="15" min="15" style="1" width="46"/>
    <col collapsed="false" customWidth="true" hidden="false" outlineLevel="0" max="16" min="16" style="1" width="28"/>
  </cols>
  <sheetData>
    <row r="1" customFormat="false" ht="15" hidden="false" customHeight="true" outlineLevel="0" collapsed="false">
      <c r="A1" s="6" t="s">
        <v>37</v>
      </c>
      <c r="B1" s="6" t="s">
        <v>38</v>
      </c>
      <c r="C1" s="6" t="s">
        <v>39</v>
      </c>
      <c r="D1" s="6" t="s">
        <v>40</v>
      </c>
      <c r="E1" s="6" t="s">
        <v>41</v>
      </c>
      <c r="F1" s="6" t="s">
        <v>42</v>
      </c>
      <c r="G1" s="6" t="s">
        <v>43</v>
      </c>
      <c r="H1" s="6" t="s">
        <v>44</v>
      </c>
      <c r="I1" s="6" t="s">
        <v>45</v>
      </c>
      <c r="J1" s="6" t="s">
        <v>46</v>
      </c>
      <c r="K1" s="6" t="s">
        <v>47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52</v>
      </c>
    </row>
    <row r="2" customFormat="false" ht="34.5" hidden="false" customHeight="true" outlineLevel="0" collapsed="false">
      <c r="A2" s="7" t="s">
        <v>53</v>
      </c>
      <c r="B2" s="7" t="s">
        <v>54</v>
      </c>
      <c r="C2" s="8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62</v>
      </c>
      <c r="K2" s="9" t="s">
        <v>63</v>
      </c>
      <c r="L2" s="7" t="s">
        <v>64</v>
      </c>
      <c r="M2" s="7" t="s">
        <v>65</v>
      </c>
      <c r="N2" s="10" t="s">
        <v>10</v>
      </c>
      <c r="O2" s="7" t="s">
        <v>66</v>
      </c>
      <c r="P2" s="11"/>
    </row>
    <row r="3" customFormat="false" ht="45.75" hidden="false" customHeight="true" outlineLevel="0" collapsed="false">
      <c r="A3" s="7" t="s">
        <v>67</v>
      </c>
      <c r="B3" s="7" t="s">
        <v>54</v>
      </c>
      <c r="C3" s="8" t="s">
        <v>68</v>
      </c>
      <c r="D3" s="7" t="s">
        <v>56</v>
      </c>
      <c r="E3" s="7" t="s">
        <v>69</v>
      </c>
      <c r="F3" s="7" t="s">
        <v>70</v>
      </c>
      <c r="G3" s="7" t="s">
        <v>71</v>
      </c>
      <c r="H3" s="7" t="s">
        <v>60</v>
      </c>
      <c r="I3" s="7" t="s">
        <v>72</v>
      </c>
      <c r="J3" s="7" t="s">
        <v>62</v>
      </c>
      <c r="K3" s="9" t="s">
        <v>63</v>
      </c>
      <c r="L3" s="7" t="s">
        <v>73</v>
      </c>
      <c r="M3" s="7" t="s">
        <v>74</v>
      </c>
      <c r="N3" s="10" t="s">
        <v>10</v>
      </c>
      <c r="O3" s="7" t="s">
        <v>75</v>
      </c>
      <c r="P3" s="11"/>
    </row>
    <row r="4" customFormat="false" ht="45.75" hidden="false" customHeight="true" outlineLevel="0" collapsed="false">
      <c r="A4" s="7" t="s">
        <v>76</v>
      </c>
      <c r="B4" s="7" t="s">
        <v>77</v>
      </c>
      <c r="C4" s="8" t="s">
        <v>78</v>
      </c>
      <c r="D4" s="7" t="s">
        <v>79</v>
      </c>
      <c r="E4" s="7" t="s">
        <v>80</v>
      </c>
      <c r="F4" s="7" t="s">
        <v>81</v>
      </c>
      <c r="G4" s="7" t="s">
        <v>82</v>
      </c>
      <c r="H4" s="7" t="s">
        <v>83</v>
      </c>
      <c r="I4" s="7" t="s">
        <v>84</v>
      </c>
      <c r="J4" s="12" t="s">
        <v>85</v>
      </c>
      <c r="K4" s="9" t="s">
        <v>63</v>
      </c>
      <c r="L4" s="7" t="s">
        <v>86</v>
      </c>
      <c r="M4" s="7" t="s">
        <v>87</v>
      </c>
      <c r="N4" s="9" t="s">
        <v>11</v>
      </c>
      <c r="O4" s="7" t="s">
        <v>88</v>
      </c>
      <c r="P4" s="11"/>
    </row>
    <row r="5" customFormat="false" ht="23.25" hidden="false" customHeight="true" outlineLevel="0" collapsed="false">
      <c r="A5" s="7" t="s">
        <v>89</v>
      </c>
      <c r="B5" s="7" t="s">
        <v>77</v>
      </c>
      <c r="C5" s="8" t="s">
        <v>90</v>
      </c>
      <c r="D5" s="7" t="s">
        <v>79</v>
      </c>
      <c r="E5" s="7" t="s">
        <v>91</v>
      </c>
      <c r="F5" s="7" t="s">
        <v>92</v>
      </c>
      <c r="G5" s="7" t="s">
        <v>93</v>
      </c>
      <c r="H5" s="7" t="s">
        <v>94</v>
      </c>
      <c r="I5" s="7" t="s">
        <v>95</v>
      </c>
      <c r="J5" s="12" t="s">
        <v>85</v>
      </c>
      <c r="K5" s="9" t="s">
        <v>63</v>
      </c>
      <c r="L5" s="7" t="s">
        <v>96</v>
      </c>
      <c r="M5" s="7" t="s">
        <v>97</v>
      </c>
      <c r="N5" s="9" t="s">
        <v>11</v>
      </c>
      <c r="O5" s="7" t="s">
        <v>98</v>
      </c>
      <c r="P5" s="11"/>
    </row>
    <row r="6" customFormat="false" ht="23.25" hidden="false" customHeight="true" outlineLevel="0" collapsed="false">
      <c r="A6" s="7" t="s">
        <v>99</v>
      </c>
      <c r="B6" s="7" t="s">
        <v>77</v>
      </c>
      <c r="C6" s="8" t="s">
        <v>100</v>
      </c>
      <c r="D6" s="7" t="s">
        <v>79</v>
      </c>
      <c r="E6" s="7" t="s">
        <v>101</v>
      </c>
      <c r="F6" s="7" t="s">
        <v>102</v>
      </c>
      <c r="G6" s="7" t="s">
        <v>93</v>
      </c>
      <c r="H6" s="7" t="s">
        <v>103</v>
      </c>
      <c r="I6" s="7" t="s">
        <v>104</v>
      </c>
      <c r="J6" s="12" t="s">
        <v>85</v>
      </c>
      <c r="K6" s="13" t="s">
        <v>105</v>
      </c>
      <c r="L6" s="7" t="s">
        <v>106</v>
      </c>
      <c r="M6" s="7" t="s">
        <v>107</v>
      </c>
      <c r="N6" s="9" t="s">
        <v>11</v>
      </c>
      <c r="O6" s="7" t="s">
        <v>108</v>
      </c>
      <c r="P6" s="11"/>
    </row>
    <row r="7" customFormat="false" ht="23.25" hidden="false" customHeight="true" outlineLevel="0" collapsed="false">
      <c r="A7" s="7" t="s">
        <v>109</v>
      </c>
      <c r="B7" s="7" t="s">
        <v>77</v>
      </c>
      <c r="C7" s="8" t="s">
        <v>110</v>
      </c>
      <c r="D7" s="7" t="s">
        <v>79</v>
      </c>
      <c r="E7" s="7" t="s">
        <v>111</v>
      </c>
      <c r="F7" s="7" t="s">
        <v>112</v>
      </c>
      <c r="G7" s="7" t="s">
        <v>93</v>
      </c>
      <c r="H7" s="7" t="s">
        <v>113</v>
      </c>
      <c r="I7" s="7" t="s">
        <v>114</v>
      </c>
      <c r="J7" s="12" t="s">
        <v>85</v>
      </c>
      <c r="K7" s="13" t="s">
        <v>105</v>
      </c>
      <c r="L7" s="7" t="s">
        <v>115</v>
      </c>
      <c r="M7" s="7" t="s">
        <v>116</v>
      </c>
      <c r="N7" s="9" t="s">
        <v>11</v>
      </c>
      <c r="O7" s="7" t="s">
        <v>117</v>
      </c>
      <c r="P7" s="11"/>
    </row>
    <row r="8" customFormat="false" ht="45.75" hidden="false" customHeight="true" outlineLevel="0" collapsed="false">
      <c r="A8" s="7" t="s">
        <v>118</v>
      </c>
      <c r="B8" s="7" t="s">
        <v>77</v>
      </c>
      <c r="C8" s="8" t="s">
        <v>119</v>
      </c>
      <c r="D8" s="7" t="s">
        <v>79</v>
      </c>
      <c r="E8" s="7" t="s">
        <v>120</v>
      </c>
      <c r="F8" s="7" t="s">
        <v>121</v>
      </c>
      <c r="G8" s="7" t="s">
        <v>122</v>
      </c>
      <c r="H8" s="7" t="s">
        <v>123</v>
      </c>
      <c r="I8" s="7" t="s">
        <v>124</v>
      </c>
      <c r="J8" s="12" t="s">
        <v>125</v>
      </c>
      <c r="K8" s="9" t="s">
        <v>63</v>
      </c>
      <c r="L8" s="7" t="s">
        <v>126</v>
      </c>
      <c r="M8" s="7" t="s">
        <v>127</v>
      </c>
      <c r="N8" s="10" t="s">
        <v>10</v>
      </c>
      <c r="O8" s="7" t="s">
        <v>128</v>
      </c>
      <c r="P8" s="11"/>
    </row>
    <row r="9" customFormat="false" ht="34.5" hidden="false" customHeight="true" outlineLevel="0" collapsed="false">
      <c r="A9" s="7" t="s">
        <v>129</v>
      </c>
      <c r="B9" s="7" t="s">
        <v>77</v>
      </c>
      <c r="C9" s="8" t="s">
        <v>130</v>
      </c>
      <c r="D9" s="7" t="s">
        <v>131</v>
      </c>
      <c r="E9" s="7" t="s">
        <v>132</v>
      </c>
      <c r="F9" s="7" t="s">
        <v>133</v>
      </c>
      <c r="G9" s="7" t="s">
        <v>59</v>
      </c>
      <c r="H9" s="7" t="s">
        <v>134</v>
      </c>
      <c r="I9" s="7" t="s">
        <v>135</v>
      </c>
      <c r="J9" s="12" t="s">
        <v>136</v>
      </c>
      <c r="K9" s="9" t="s">
        <v>63</v>
      </c>
      <c r="L9" s="7" t="s">
        <v>137</v>
      </c>
      <c r="M9" s="7" t="s">
        <v>138</v>
      </c>
      <c r="N9" s="13" t="s">
        <v>12</v>
      </c>
      <c r="O9" s="7" t="s">
        <v>139</v>
      </c>
      <c r="P9" s="11"/>
    </row>
    <row r="10" customFormat="false" ht="23.25" hidden="false" customHeight="true" outlineLevel="0" collapsed="false">
      <c r="A10" s="7" t="s">
        <v>140</v>
      </c>
      <c r="B10" s="7" t="s">
        <v>77</v>
      </c>
      <c r="C10" s="8" t="s">
        <v>141</v>
      </c>
      <c r="D10" s="7" t="s">
        <v>142</v>
      </c>
      <c r="E10" s="7" t="s">
        <v>143</v>
      </c>
      <c r="F10" s="7" t="s">
        <v>144</v>
      </c>
      <c r="G10" s="7" t="s">
        <v>59</v>
      </c>
      <c r="H10" s="7" t="s">
        <v>145</v>
      </c>
      <c r="I10" s="7" t="s">
        <v>146</v>
      </c>
      <c r="J10" s="12" t="s">
        <v>147</v>
      </c>
      <c r="K10" s="9" t="s">
        <v>63</v>
      </c>
      <c r="L10" s="7" t="s">
        <v>148</v>
      </c>
      <c r="M10" s="7"/>
      <c r="N10" s="9" t="s">
        <v>11</v>
      </c>
      <c r="O10" s="7" t="s">
        <v>149</v>
      </c>
      <c r="P10" s="11"/>
    </row>
    <row r="11" customFormat="false" ht="34.5" hidden="false" customHeight="true" outlineLevel="0" collapsed="false">
      <c r="A11" s="7" t="s">
        <v>150</v>
      </c>
      <c r="B11" s="7" t="s">
        <v>77</v>
      </c>
      <c r="C11" s="8" t="s">
        <v>151</v>
      </c>
      <c r="D11" s="7" t="s">
        <v>142</v>
      </c>
      <c r="E11" s="7" t="s">
        <v>152</v>
      </c>
      <c r="F11" s="7" t="s">
        <v>153</v>
      </c>
      <c r="G11" s="7" t="s">
        <v>59</v>
      </c>
      <c r="H11" s="7" t="s">
        <v>145</v>
      </c>
      <c r="I11" s="7" t="s">
        <v>154</v>
      </c>
      <c r="J11" s="12" t="s">
        <v>155</v>
      </c>
      <c r="K11" s="9" t="s">
        <v>63</v>
      </c>
      <c r="L11" s="7" t="s">
        <v>156</v>
      </c>
      <c r="M11" s="7" t="s">
        <v>157</v>
      </c>
      <c r="N11" s="9" t="s">
        <v>11</v>
      </c>
      <c r="O11" s="7" t="s">
        <v>158</v>
      </c>
      <c r="P11" s="11"/>
    </row>
    <row r="12" customFormat="false" ht="45.75" hidden="false" customHeight="true" outlineLevel="0" collapsed="false">
      <c r="A12" s="7" t="s">
        <v>159</v>
      </c>
      <c r="B12" s="7" t="s">
        <v>77</v>
      </c>
      <c r="C12" s="8" t="s">
        <v>160</v>
      </c>
      <c r="D12" s="7" t="s">
        <v>142</v>
      </c>
      <c r="E12" s="7" t="s">
        <v>161</v>
      </c>
      <c r="F12" s="7" t="s">
        <v>162</v>
      </c>
      <c r="G12" s="7" t="s">
        <v>59</v>
      </c>
      <c r="H12" s="7" t="s">
        <v>163</v>
      </c>
      <c r="I12" s="7" t="s">
        <v>164</v>
      </c>
      <c r="J12" s="12" t="s">
        <v>165</v>
      </c>
      <c r="K12" s="13" t="s">
        <v>105</v>
      </c>
      <c r="L12" s="7" t="s">
        <v>166</v>
      </c>
      <c r="M12" s="7"/>
      <c r="N12" s="9" t="s">
        <v>11</v>
      </c>
      <c r="O12" s="7" t="s">
        <v>158</v>
      </c>
      <c r="P12" s="11"/>
    </row>
    <row r="13" customFormat="false" ht="23.25" hidden="false" customHeight="true" outlineLevel="0" collapsed="false">
      <c r="A13" s="7" t="s">
        <v>167</v>
      </c>
      <c r="B13" s="7" t="s">
        <v>77</v>
      </c>
      <c r="C13" s="8" t="s">
        <v>168</v>
      </c>
      <c r="D13" s="7" t="s">
        <v>169</v>
      </c>
      <c r="E13" s="7" t="s">
        <v>170</v>
      </c>
      <c r="F13" s="7" t="s">
        <v>171</v>
      </c>
      <c r="G13" s="7" t="s">
        <v>172</v>
      </c>
      <c r="H13" s="7" t="s">
        <v>145</v>
      </c>
      <c r="I13" s="7" t="s">
        <v>173</v>
      </c>
      <c r="J13" s="12" t="s">
        <v>174</v>
      </c>
      <c r="K13" s="13" t="s">
        <v>105</v>
      </c>
      <c r="L13" s="7" t="s">
        <v>175</v>
      </c>
      <c r="M13" s="7" t="s">
        <v>176</v>
      </c>
      <c r="N13" s="14" t="s">
        <v>15</v>
      </c>
      <c r="O13" s="7"/>
      <c r="P13" s="11"/>
    </row>
    <row r="14" customFormat="false" ht="34.5" hidden="false" customHeight="true" outlineLevel="0" collapsed="false">
      <c r="A14" s="7" t="s">
        <v>177</v>
      </c>
      <c r="B14" s="7" t="s">
        <v>178</v>
      </c>
      <c r="C14" s="8" t="s">
        <v>179</v>
      </c>
      <c r="D14" s="7" t="s">
        <v>180</v>
      </c>
      <c r="E14" s="7" t="s">
        <v>181</v>
      </c>
      <c r="F14" s="7" t="s">
        <v>182</v>
      </c>
      <c r="G14" s="7" t="s">
        <v>71</v>
      </c>
      <c r="H14" s="7" t="s">
        <v>183</v>
      </c>
      <c r="I14" s="7" t="s">
        <v>184</v>
      </c>
      <c r="J14" s="12" t="s">
        <v>185</v>
      </c>
      <c r="K14" s="9" t="s">
        <v>63</v>
      </c>
      <c r="L14" s="7" t="s">
        <v>186</v>
      </c>
      <c r="M14" s="7" t="s">
        <v>187</v>
      </c>
      <c r="N14" s="10" t="s">
        <v>10</v>
      </c>
      <c r="O14" s="7" t="s">
        <v>188</v>
      </c>
      <c r="P14" s="11"/>
    </row>
    <row r="15" customFormat="false" ht="34.5" hidden="false" customHeight="true" outlineLevel="0" collapsed="false">
      <c r="A15" s="7" t="s">
        <v>189</v>
      </c>
      <c r="B15" s="7" t="s">
        <v>178</v>
      </c>
      <c r="C15" s="8" t="s">
        <v>190</v>
      </c>
      <c r="D15" s="7" t="s">
        <v>191</v>
      </c>
      <c r="E15" s="7" t="s">
        <v>192</v>
      </c>
      <c r="F15" s="7" t="s">
        <v>193</v>
      </c>
      <c r="G15" s="7" t="s">
        <v>194</v>
      </c>
      <c r="H15" s="7" t="s">
        <v>195</v>
      </c>
      <c r="I15" s="7" t="s">
        <v>196</v>
      </c>
      <c r="J15" s="12" t="s">
        <v>185</v>
      </c>
      <c r="K15" s="9" t="s">
        <v>63</v>
      </c>
      <c r="L15" s="7" t="s">
        <v>197</v>
      </c>
      <c r="M15" s="7" t="s">
        <v>198</v>
      </c>
      <c r="N15" s="9" t="s">
        <v>11</v>
      </c>
      <c r="O15" s="7" t="s">
        <v>199</v>
      </c>
      <c r="P15" s="11"/>
    </row>
    <row r="16" customFormat="false" ht="34.5" hidden="false" customHeight="true" outlineLevel="0" collapsed="false">
      <c r="A16" s="7" t="s">
        <v>200</v>
      </c>
      <c r="B16" s="7" t="s">
        <v>178</v>
      </c>
      <c r="C16" s="8" t="s">
        <v>201</v>
      </c>
      <c r="D16" s="7" t="s">
        <v>191</v>
      </c>
      <c r="E16" s="7" t="s">
        <v>202</v>
      </c>
      <c r="F16" s="7" t="s">
        <v>203</v>
      </c>
      <c r="G16" s="7" t="s">
        <v>194</v>
      </c>
      <c r="H16" s="7" t="s">
        <v>204</v>
      </c>
      <c r="I16" s="7" t="s">
        <v>196</v>
      </c>
      <c r="J16" s="12" t="s">
        <v>185</v>
      </c>
      <c r="K16" s="13" t="s">
        <v>105</v>
      </c>
      <c r="L16" s="7" t="s">
        <v>205</v>
      </c>
      <c r="M16" s="7" t="s">
        <v>206</v>
      </c>
      <c r="N16" s="9" t="s">
        <v>11</v>
      </c>
      <c r="O16" s="7" t="s">
        <v>207</v>
      </c>
      <c r="P16" s="11"/>
    </row>
    <row r="17" customFormat="false" ht="68.25" hidden="false" customHeight="true" outlineLevel="0" collapsed="false">
      <c r="A17" s="7" t="s">
        <v>208</v>
      </c>
      <c r="B17" s="7" t="s">
        <v>178</v>
      </c>
      <c r="C17" s="8" t="s">
        <v>209</v>
      </c>
      <c r="D17" s="7" t="s">
        <v>210</v>
      </c>
      <c r="E17" s="7" t="s">
        <v>211</v>
      </c>
      <c r="F17" s="7" t="s">
        <v>212</v>
      </c>
      <c r="G17" s="7" t="s">
        <v>213</v>
      </c>
      <c r="H17" s="7" t="s">
        <v>214</v>
      </c>
      <c r="I17" s="7" t="s">
        <v>215</v>
      </c>
      <c r="J17" s="12" t="s">
        <v>216</v>
      </c>
      <c r="K17" s="9" t="s">
        <v>63</v>
      </c>
      <c r="L17" s="7" t="s">
        <v>217</v>
      </c>
      <c r="M17" s="7" t="s">
        <v>218</v>
      </c>
      <c r="N17" s="10" t="s">
        <v>10</v>
      </c>
      <c r="O17" s="7" t="s">
        <v>219</v>
      </c>
      <c r="P17" s="11"/>
    </row>
    <row r="18" customFormat="false" ht="23.25" hidden="false" customHeight="true" outlineLevel="0" collapsed="false">
      <c r="A18" s="7" t="s">
        <v>220</v>
      </c>
      <c r="B18" s="7" t="s">
        <v>178</v>
      </c>
      <c r="C18" s="8" t="s">
        <v>221</v>
      </c>
      <c r="D18" s="7" t="s">
        <v>222</v>
      </c>
      <c r="E18" s="7" t="s">
        <v>223</v>
      </c>
      <c r="F18" s="7" t="s">
        <v>224</v>
      </c>
      <c r="G18" s="7" t="s">
        <v>225</v>
      </c>
      <c r="H18" s="7" t="s">
        <v>62</v>
      </c>
      <c r="I18" s="7" t="s">
        <v>226</v>
      </c>
      <c r="J18" s="12" t="s">
        <v>227</v>
      </c>
      <c r="K18" s="9" t="s">
        <v>63</v>
      </c>
      <c r="L18" s="7" t="s">
        <v>228</v>
      </c>
      <c r="M18" s="7" t="s">
        <v>229</v>
      </c>
      <c r="N18" s="15" t="s">
        <v>13</v>
      </c>
      <c r="O18" s="7"/>
      <c r="P18" s="11"/>
    </row>
    <row r="19" customFormat="false" ht="34.5" hidden="false" customHeight="true" outlineLevel="0" collapsed="false">
      <c r="A19" s="7" t="s">
        <v>230</v>
      </c>
      <c r="B19" s="7" t="s">
        <v>178</v>
      </c>
      <c r="C19" s="8" t="s">
        <v>231</v>
      </c>
      <c r="D19" s="7" t="s">
        <v>232</v>
      </c>
      <c r="E19" s="7" t="s">
        <v>233</v>
      </c>
      <c r="F19" s="7" t="s">
        <v>234</v>
      </c>
      <c r="G19" s="7" t="s">
        <v>235</v>
      </c>
      <c r="H19" s="7" t="s">
        <v>204</v>
      </c>
      <c r="I19" s="7" t="s">
        <v>72</v>
      </c>
      <c r="J19" s="12" t="s">
        <v>236</v>
      </c>
      <c r="K19" s="9" t="s">
        <v>63</v>
      </c>
      <c r="L19" s="7" t="s">
        <v>237</v>
      </c>
      <c r="M19" s="7" t="s">
        <v>238</v>
      </c>
      <c r="N19" s="10" t="s">
        <v>10</v>
      </c>
      <c r="O19" s="7" t="s">
        <v>239</v>
      </c>
      <c r="P19" s="11"/>
    </row>
    <row r="20" customFormat="false" ht="34.5" hidden="false" customHeight="true" outlineLevel="0" collapsed="false">
      <c r="A20" s="7" t="s">
        <v>240</v>
      </c>
      <c r="B20" s="7" t="s">
        <v>178</v>
      </c>
      <c r="C20" s="8" t="s">
        <v>241</v>
      </c>
      <c r="D20" s="7" t="s">
        <v>242</v>
      </c>
      <c r="E20" s="7" t="s">
        <v>243</v>
      </c>
      <c r="F20" s="7" t="s">
        <v>244</v>
      </c>
      <c r="G20" s="7" t="s">
        <v>245</v>
      </c>
      <c r="H20" s="7" t="s">
        <v>246</v>
      </c>
      <c r="I20" s="7" t="s">
        <v>247</v>
      </c>
      <c r="J20" s="12" t="s">
        <v>248</v>
      </c>
      <c r="K20" s="9" t="s">
        <v>63</v>
      </c>
      <c r="L20" s="7" t="s">
        <v>249</v>
      </c>
      <c r="M20" s="7" t="s">
        <v>250</v>
      </c>
      <c r="N20" s="9" t="s">
        <v>11</v>
      </c>
      <c r="O20" s="7" t="s">
        <v>251</v>
      </c>
      <c r="P20" s="11"/>
    </row>
    <row r="21" customFormat="false" ht="34.5" hidden="false" customHeight="true" outlineLevel="0" collapsed="false">
      <c r="A21" s="7" t="s">
        <v>252</v>
      </c>
      <c r="B21" s="7" t="s">
        <v>178</v>
      </c>
      <c r="C21" s="8" t="s">
        <v>253</v>
      </c>
      <c r="D21" s="7" t="s">
        <v>242</v>
      </c>
      <c r="E21" s="7" t="s">
        <v>254</v>
      </c>
      <c r="F21" s="7" t="s">
        <v>255</v>
      </c>
      <c r="G21" s="7" t="s">
        <v>256</v>
      </c>
      <c r="H21" s="7" t="s">
        <v>257</v>
      </c>
      <c r="I21" s="7" t="s">
        <v>258</v>
      </c>
      <c r="J21" s="12" t="s">
        <v>259</v>
      </c>
      <c r="K21" s="13" t="s">
        <v>105</v>
      </c>
      <c r="L21" s="7" t="s">
        <v>260</v>
      </c>
      <c r="M21" s="7" t="s">
        <v>261</v>
      </c>
      <c r="N21" s="9" t="s">
        <v>11</v>
      </c>
      <c r="O21" s="7" t="s">
        <v>262</v>
      </c>
      <c r="P21" s="11"/>
    </row>
    <row r="22" customFormat="false" ht="34.5" hidden="false" customHeight="true" outlineLevel="0" collapsed="false">
      <c r="A22" s="7" t="s">
        <v>263</v>
      </c>
      <c r="B22" s="7" t="s">
        <v>178</v>
      </c>
      <c r="C22" s="8" t="s">
        <v>264</v>
      </c>
      <c r="D22" s="7" t="s">
        <v>265</v>
      </c>
      <c r="E22" s="7" t="s">
        <v>266</v>
      </c>
      <c r="F22" s="7" t="s">
        <v>267</v>
      </c>
      <c r="G22" s="7" t="s">
        <v>225</v>
      </c>
      <c r="H22" s="7" t="s">
        <v>268</v>
      </c>
      <c r="I22" s="7" t="s">
        <v>269</v>
      </c>
      <c r="J22" s="12" t="s">
        <v>270</v>
      </c>
      <c r="K22" s="9" t="s">
        <v>63</v>
      </c>
      <c r="L22" s="7" t="s">
        <v>271</v>
      </c>
      <c r="M22" s="7" t="s">
        <v>272</v>
      </c>
      <c r="N22" s="9" t="s">
        <v>11</v>
      </c>
      <c r="O22" s="7" t="s">
        <v>273</v>
      </c>
      <c r="P22" s="11"/>
    </row>
    <row r="23" customFormat="false" ht="68.25" hidden="false" customHeight="true" outlineLevel="0" collapsed="false">
      <c r="A23" s="7" t="s">
        <v>274</v>
      </c>
      <c r="B23" s="7" t="s">
        <v>178</v>
      </c>
      <c r="C23" s="8" t="s">
        <v>275</v>
      </c>
      <c r="D23" s="7" t="s">
        <v>276</v>
      </c>
      <c r="E23" s="7" t="s">
        <v>277</v>
      </c>
      <c r="F23" s="7" t="s">
        <v>278</v>
      </c>
      <c r="G23" s="7" t="s">
        <v>279</v>
      </c>
      <c r="H23" s="7" t="s">
        <v>280</v>
      </c>
      <c r="I23" s="7" t="s">
        <v>281</v>
      </c>
      <c r="J23" s="12" t="s">
        <v>282</v>
      </c>
      <c r="K23" s="13" t="s">
        <v>105</v>
      </c>
      <c r="L23" s="7" t="s">
        <v>283</v>
      </c>
      <c r="M23" s="7" t="s">
        <v>284</v>
      </c>
      <c r="N23" s="10" t="s">
        <v>10</v>
      </c>
      <c r="O23" s="7" t="s">
        <v>285</v>
      </c>
      <c r="P23" s="11"/>
    </row>
    <row r="24" customFormat="false" ht="23.25" hidden="false" customHeight="true" outlineLevel="0" collapsed="false">
      <c r="A24" s="7" t="s">
        <v>286</v>
      </c>
      <c r="B24" s="7" t="s">
        <v>178</v>
      </c>
      <c r="C24" s="8" t="s">
        <v>287</v>
      </c>
      <c r="D24" s="7" t="s">
        <v>142</v>
      </c>
      <c r="E24" s="7" t="s">
        <v>288</v>
      </c>
      <c r="F24" s="7" t="s">
        <v>289</v>
      </c>
      <c r="G24" s="7" t="s">
        <v>290</v>
      </c>
      <c r="H24" s="7" t="s">
        <v>291</v>
      </c>
      <c r="I24" s="7" t="s">
        <v>154</v>
      </c>
      <c r="J24" s="12" t="s">
        <v>292</v>
      </c>
      <c r="K24" s="16" t="s">
        <v>293</v>
      </c>
      <c r="L24" s="7" t="s">
        <v>294</v>
      </c>
      <c r="M24" s="7" t="s">
        <v>295</v>
      </c>
      <c r="N24" s="9" t="s">
        <v>11</v>
      </c>
      <c r="O24" s="7" t="s">
        <v>296</v>
      </c>
      <c r="P24" s="11"/>
    </row>
    <row r="25" customFormat="false" ht="23.25" hidden="false" customHeight="true" outlineLevel="0" collapsed="false">
      <c r="A25" s="7" t="s">
        <v>297</v>
      </c>
      <c r="B25" s="7" t="s">
        <v>178</v>
      </c>
      <c r="C25" s="8" t="s">
        <v>298</v>
      </c>
      <c r="D25" s="7" t="s">
        <v>299</v>
      </c>
      <c r="E25" s="7" t="s">
        <v>300</v>
      </c>
      <c r="F25" s="7" t="s">
        <v>301</v>
      </c>
      <c r="G25" s="7" t="s">
        <v>302</v>
      </c>
      <c r="H25" s="7" t="s">
        <v>303</v>
      </c>
      <c r="I25" s="7" t="s">
        <v>304</v>
      </c>
      <c r="J25" s="12" t="s">
        <v>305</v>
      </c>
      <c r="K25" s="16" t="s">
        <v>293</v>
      </c>
      <c r="L25" s="7" t="s">
        <v>306</v>
      </c>
      <c r="M25" s="7" t="s">
        <v>307</v>
      </c>
      <c r="N25" s="14" t="s">
        <v>15</v>
      </c>
      <c r="O25" s="7"/>
      <c r="P25" s="11"/>
    </row>
    <row r="26" customFormat="false" ht="34.5" hidden="false" customHeight="true" outlineLevel="0" collapsed="false">
      <c r="A26" s="7" t="s">
        <v>308</v>
      </c>
      <c r="B26" s="7" t="s">
        <v>309</v>
      </c>
      <c r="C26" s="8" t="s">
        <v>310</v>
      </c>
      <c r="D26" s="7" t="s">
        <v>242</v>
      </c>
      <c r="E26" s="7" t="s">
        <v>311</v>
      </c>
      <c r="F26" s="7" t="s">
        <v>312</v>
      </c>
      <c r="G26" s="7" t="s">
        <v>313</v>
      </c>
      <c r="H26" s="7" t="s">
        <v>204</v>
      </c>
      <c r="I26" s="7" t="s">
        <v>314</v>
      </c>
      <c r="J26" s="12" t="s">
        <v>315</v>
      </c>
      <c r="K26" s="9" t="s">
        <v>63</v>
      </c>
      <c r="L26" s="7" t="s">
        <v>316</v>
      </c>
      <c r="M26" s="7" t="s">
        <v>317</v>
      </c>
      <c r="N26" s="9" t="s">
        <v>11</v>
      </c>
      <c r="O26" s="7" t="s">
        <v>318</v>
      </c>
      <c r="P26" s="11"/>
    </row>
    <row r="27" customFormat="false" ht="34.5" hidden="false" customHeight="true" outlineLevel="0" collapsed="false">
      <c r="A27" s="7" t="s">
        <v>319</v>
      </c>
      <c r="B27" s="7" t="s">
        <v>309</v>
      </c>
      <c r="C27" s="8" t="s">
        <v>320</v>
      </c>
      <c r="D27" s="7" t="s">
        <v>321</v>
      </c>
      <c r="E27" s="7" t="s">
        <v>322</v>
      </c>
      <c r="F27" s="7" t="s">
        <v>323</v>
      </c>
      <c r="G27" s="7" t="s">
        <v>324</v>
      </c>
      <c r="H27" s="7" t="s">
        <v>325</v>
      </c>
      <c r="I27" s="7" t="s">
        <v>326</v>
      </c>
      <c r="J27" s="12" t="s">
        <v>327</v>
      </c>
      <c r="K27" s="9" t="s">
        <v>63</v>
      </c>
      <c r="L27" s="7" t="s">
        <v>328</v>
      </c>
      <c r="M27" s="7" t="s">
        <v>329</v>
      </c>
      <c r="N27" s="9" t="s">
        <v>11</v>
      </c>
      <c r="O27" s="7" t="s">
        <v>330</v>
      </c>
      <c r="P27" s="11"/>
    </row>
    <row r="28" customFormat="false" ht="34.5" hidden="false" customHeight="true" outlineLevel="0" collapsed="false">
      <c r="A28" s="7" t="s">
        <v>331</v>
      </c>
      <c r="B28" s="7" t="s">
        <v>309</v>
      </c>
      <c r="C28" s="8" t="s">
        <v>332</v>
      </c>
      <c r="D28" s="7" t="s">
        <v>333</v>
      </c>
      <c r="E28" s="7" t="s">
        <v>334</v>
      </c>
      <c r="F28" s="7" t="s">
        <v>335</v>
      </c>
      <c r="G28" s="7" t="s">
        <v>324</v>
      </c>
      <c r="H28" s="7" t="s">
        <v>62</v>
      </c>
      <c r="I28" s="7" t="s">
        <v>336</v>
      </c>
      <c r="J28" s="12" t="s">
        <v>337</v>
      </c>
      <c r="K28" s="9" t="s">
        <v>63</v>
      </c>
      <c r="L28" s="7" t="s">
        <v>338</v>
      </c>
      <c r="M28" s="7" t="s">
        <v>339</v>
      </c>
      <c r="N28" s="17" t="s">
        <v>14</v>
      </c>
      <c r="O28" s="7"/>
      <c r="P28" s="11"/>
    </row>
    <row r="29" customFormat="false" ht="34.5" hidden="false" customHeight="true" outlineLevel="0" collapsed="false">
      <c r="A29" s="7" t="s">
        <v>340</v>
      </c>
      <c r="B29" s="7" t="s">
        <v>309</v>
      </c>
      <c r="C29" s="8" t="s">
        <v>341</v>
      </c>
      <c r="D29" s="7" t="s">
        <v>342</v>
      </c>
      <c r="E29" s="7" t="s">
        <v>343</v>
      </c>
      <c r="F29" s="7" t="s">
        <v>344</v>
      </c>
      <c r="G29" s="7" t="s">
        <v>324</v>
      </c>
      <c r="H29" s="7" t="s">
        <v>204</v>
      </c>
      <c r="I29" s="7" t="s">
        <v>345</v>
      </c>
      <c r="J29" s="12" t="s">
        <v>346</v>
      </c>
      <c r="K29" s="13" t="s">
        <v>105</v>
      </c>
      <c r="L29" s="7" t="s">
        <v>347</v>
      </c>
      <c r="M29" s="7" t="s">
        <v>348</v>
      </c>
      <c r="N29" s="9" t="s">
        <v>11</v>
      </c>
      <c r="O29" s="7" t="s">
        <v>349</v>
      </c>
      <c r="P29" s="11"/>
    </row>
    <row r="30" customFormat="false" ht="34.5" hidden="false" customHeight="true" outlineLevel="0" collapsed="false">
      <c r="A30" s="7" t="s">
        <v>350</v>
      </c>
      <c r="B30" s="7" t="s">
        <v>351</v>
      </c>
      <c r="C30" s="8" t="s">
        <v>352</v>
      </c>
      <c r="D30" s="7" t="s">
        <v>353</v>
      </c>
      <c r="E30" s="7" t="s">
        <v>354</v>
      </c>
      <c r="F30" s="7" t="s">
        <v>355</v>
      </c>
      <c r="G30" s="7" t="s">
        <v>356</v>
      </c>
      <c r="H30" s="7" t="s">
        <v>145</v>
      </c>
      <c r="I30" s="7" t="s">
        <v>357</v>
      </c>
      <c r="J30" s="12" t="s">
        <v>358</v>
      </c>
      <c r="K30" s="9" t="s">
        <v>63</v>
      </c>
      <c r="L30" s="7" t="s">
        <v>359</v>
      </c>
      <c r="M30" s="7" t="s">
        <v>360</v>
      </c>
      <c r="N30" s="9" t="s">
        <v>11</v>
      </c>
      <c r="O30" s="7" t="s">
        <v>361</v>
      </c>
      <c r="P30" s="11"/>
    </row>
    <row r="31" customFormat="false" ht="34.5" hidden="false" customHeight="true" outlineLevel="0" collapsed="false">
      <c r="A31" s="7" t="s">
        <v>362</v>
      </c>
      <c r="B31" s="7" t="s">
        <v>351</v>
      </c>
      <c r="C31" s="8" t="s">
        <v>363</v>
      </c>
      <c r="D31" s="7" t="s">
        <v>364</v>
      </c>
      <c r="E31" s="7" t="s">
        <v>365</v>
      </c>
      <c r="F31" s="7" t="s">
        <v>366</v>
      </c>
      <c r="G31" s="7" t="s">
        <v>367</v>
      </c>
      <c r="H31" s="7" t="s">
        <v>145</v>
      </c>
      <c r="I31" s="7" t="s">
        <v>368</v>
      </c>
      <c r="J31" s="12" t="s">
        <v>369</v>
      </c>
      <c r="K31" s="13" t="s">
        <v>105</v>
      </c>
      <c r="L31" s="7" t="s">
        <v>370</v>
      </c>
      <c r="M31" s="7"/>
      <c r="N31" s="9" t="s">
        <v>11</v>
      </c>
      <c r="O31" s="7" t="s">
        <v>371</v>
      </c>
      <c r="P31" s="11"/>
    </row>
    <row r="32" customFormat="false" ht="34.5" hidden="false" customHeight="true" outlineLevel="0" collapsed="false">
      <c r="A32" s="7" t="s">
        <v>372</v>
      </c>
      <c r="B32" s="7" t="s">
        <v>373</v>
      </c>
      <c r="C32" s="8" t="s">
        <v>374</v>
      </c>
      <c r="D32" s="7" t="s">
        <v>375</v>
      </c>
      <c r="E32" s="7" t="s">
        <v>376</v>
      </c>
      <c r="F32" s="7" t="s">
        <v>377</v>
      </c>
      <c r="G32" s="7" t="s">
        <v>367</v>
      </c>
      <c r="H32" s="7" t="s">
        <v>378</v>
      </c>
      <c r="I32" s="7" t="s">
        <v>379</v>
      </c>
      <c r="J32" s="12" t="s">
        <v>380</v>
      </c>
      <c r="K32" s="9" t="s">
        <v>63</v>
      </c>
      <c r="L32" s="7" t="s">
        <v>381</v>
      </c>
      <c r="M32" s="7" t="s">
        <v>382</v>
      </c>
      <c r="N32" s="9" t="s">
        <v>11</v>
      </c>
      <c r="O32" s="7" t="s">
        <v>383</v>
      </c>
      <c r="P32" s="11"/>
    </row>
    <row r="33" customFormat="false" ht="23.25" hidden="false" customHeight="true" outlineLevel="0" collapsed="false">
      <c r="A33" s="7" t="s">
        <v>384</v>
      </c>
      <c r="B33" s="7" t="s">
        <v>373</v>
      </c>
      <c r="C33" s="8" t="s">
        <v>385</v>
      </c>
      <c r="D33" s="7" t="s">
        <v>386</v>
      </c>
      <c r="E33" s="7" t="s">
        <v>387</v>
      </c>
      <c r="F33" s="7" t="s">
        <v>388</v>
      </c>
      <c r="G33" s="7" t="s">
        <v>389</v>
      </c>
      <c r="H33" s="7" t="s">
        <v>390</v>
      </c>
      <c r="I33" s="7" t="s">
        <v>72</v>
      </c>
      <c r="J33" s="12" t="s">
        <v>391</v>
      </c>
      <c r="K33" s="13" t="s">
        <v>105</v>
      </c>
      <c r="L33" s="7" t="s">
        <v>392</v>
      </c>
      <c r="M33" s="7" t="s">
        <v>393</v>
      </c>
      <c r="N33" s="9" t="s">
        <v>11</v>
      </c>
      <c r="O33" s="7" t="s">
        <v>394</v>
      </c>
      <c r="P33" s="11"/>
    </row>
    <row r="34" customFormat="false" ht="23.25" hidden="false" customHeight="true" outlineLevel="0" collapsed="false">
      <c r="A34" s="7" t="s">
        <v>395</v>
      </c>
      <c r="B34" s="7" t="s">
        <v>373</v>
      </c>
      <c r="C34" s="8" t="s">
        <v>396</v>
      </c>
      <c r="D34" s="7" t="s">
        <v>397</v>
      </c>
      <c r="E34" s="7" t="s">
        <v>398</v>
      </c>
      <c r="F34" s="7" t="s">
        <v>399</v>
      </c>
      <c r="G34" s="7" t="s">
        <v>400</v>
      </c>
      <c r="H34" s="7" t="s">
        <v>401</v>
      </c>
      <c r="I34" s="7" t="s">
        <v>402</v>
      </c>
      <c r="J34" s="12" t="s">
        <v>403</v>
      </c>
      <c r="K34" s="13" t="s">
        <v>105</v>
      </c>
      <c r="L34" s="7" t="s">
        <v>404</v>
      </c>
      <c r="M34" s="7" t="s">
        <v>405</v>
      </c>
      <c r="N34" s="9" t="s">
        <v>11</v>
      </c>
      <c r="O34" s="7" t="s">
        <v>406</v>
      </c>
      <c r="P34" s="11"/>
    </row>
    <row r="35" customFormat="false" ht="23.25" hidden="false" customHeight="true" outlineLevel="0" collapsed="false">
      <c r="A35" s="7" t="s">
        <v>407</v>
      </c>
      <c r="B35" s="7" t="s">
        <v>373</v>
      </c>
      <c r="C35" s="8" t="s">
        <v>408</v>
      </c>
      <c r="D35" s="7" t="s">
        <v>409</v>
      </c>
      <c r="E35" s="7" t="s">
        <v>410</v>
      </c>
      <c r="F35" s="7" t="s">
        <v>411</v>
      </c>
      <c r="G35" s="7" t="s">
        <v>412</v>
      </c>
      <c r="H35" s="7" t="s">
        <v>413</v>
      </c>
      <c r="I35" s="7" t="s">
        <v>414</v>
      </c>
      <c r="J35" s="12" t="s">
        <v>415</v>
      </c>
      <c r="K35" s="16" t="s">
        <v>293</v>
      </c>
      <c r="L35" s="7" t="s">
        <v>416</v>
      </c>
      <c r="M35" s="7" t="s">
        <v>417</v>
      </c>
      <c r="N35" s="15" t="s">
        <v>13</v>
      </c>
      <c r="O35" s="7"/>
      <c r="P35" s="11"/>
    </row>
    <row r="36" customFormat="false" ht="23.25" hidden="false" customHeight="true" outlineLevel="0" collapsed="false">
      <c r="A36" s="7" t="s">
        <v>418</v>
      </c>
      <c r="B36" s="7" t="s">
        <v>419</v>
      </c>
      <c r="C36" s="8" t="s">
        <v>420</v>
      </c>
      <c r="D36" s="7" t="s">
        <v>421</v>
      </c>
      <c r="E36" s="7" t="s">
        <v>422</v>
      </c>
      <c r="F36" s="7" t="s">
        <v>423</v>
      </c>
      <c r="G36" s="7" t="s">
        <v>424</v>
      </c>
      <c r="H36" s="7" t="s">
        <v>425</v>
      </c>
      <c r="I36" s="7" t="s">
        <v>426</v>
      </c>
      <c r="J36" s="12" t="s">
        <v>427</v>
      </c>
      <c r="K36" s="9" t="s">
        <v>63</v>
      </c>
      <c r="L36" s="7" t="s">
        <v>428</v>
      </c>
      <c r="M36" s="7" t="s">
        <v>429</v>
      </c>
      <c r="N36" s="17" t="s">
        <v>14</v>
      </c>
      <c r="O36" s="7"/>
      <c r="P36" s="11"/>
    </row>
    <row r="37" customFormat="false" ht="23.25" hidden="false" customHeight="true" outlineLevel="0" collapsed="false">
      <c r="A37" s="7" t="s">
        <v>430</v>
      </c>
      <c r="B37" s="7" t="s">
        <v>419</v>
      </c>
      <c r="C37" s="8" t="s">
        <v>431</v>
      </c>
      <c r="D37" s="7" t="s">
        <v>432</v>
      </c>
      <c r="E37" s="7" t="s">
        <v>433</v>
      </c>
      <c r="F37" s="7" t="s">
        <v>434</v>
      </c>
      <c r="G37" s="7" t="s">
        <v>435</v>
      </c>
      <c r="H37" s="7" t="s">
        <v>246</v>
      </c>
      <c r="I37" s="7" t="s">
        <v>196</v>
      </c>
      <c r="J37" s="12" t="s">
        <v>436</v>
      </c>
      <c r="K37" s="9" t="s">
        <v>63</v>
      </c>
      <c r="L37" s="7" t="s">
        <v>437</v>
      </c>
      <c r="M37" s="7" t="s">
        <v>438</v>
      </c>
      <c r="N37" s="17" t="s">
        <v>14</v>
      </c>
      <c r="O37" s="7"/>
      <c r="P37" s="11"/>
    </row>
    <row r="38" customFormat="false" ht="23.25" hidden="false" customHeight="true" outlineLevel="0" collapsed="false">
      <c r="A38" s="7" t="s">
        <v>439</v>
      </c>
      <c r="B38" s="7" t="s">
        <v>419</v>
      </c>
      <c r="C38" s="8" t="s">
        <v>440</v>
      </c>
      <c r="D38" s="7" t="s">
        <v>421</v>
      </c>
      <c r="E38" s="7" t="s">
        <v>441</v>
      </c>
      <c r="F38" s="7" t="s">
        <v>442</v>
      </c>
      <c r="G38" s="7" t="s">
        <v>443</v>
      </c>
      <c r="H38" s="7" t="s">
        <v>444</v>
      </c>
      <c r="I38" s="7" t="s">
        <v>196</v>
      </c>
      <c r="J38" s="12" t="s">
        <v>445</v>
      </c>
      <c r="K38" s="16" t="s">
        <v>293</v>
      </c>
      <c r="L38" s="7" t="s">
        <v>446</v>
      </c>
      <c r="M38" s="7" t="s">
        <v>447</v>
      </c>
      <c r="N38" s="14" t="s">
        <v>15</v>
      </c>
      <c r="O38" s="7"/>
      <c r="P38" s="11"/>
    </row>
    <row r="39" customFormat="false" ht="23.25" hidden="false" customHeight="true" outlineLevel="0" collapsed="false">
      <c r="A39" s="7" t="s">
        <v>448</v>
      </c>
      <c r="B39" s="7" t="s">
        <v>449</v>
      </c>
      <c r="C39" s="8" t="s">
        <v>450</v>
      </c>
      <c r="D39" s="7" t="s">
        <v>79</v>
      </c>
      <c r="E39" s="7" t="s">
        <v>451</v>
      </c>
      <c r="F39" s="7" t="s">
        <v>452</v>
      </c>
      <c r="G39" s="7" t="s">
        <v>453</v>
      </c>
      <c r="H39" s="7" t="s">
        <v>145</v>
      </c>
      <c r="I39" s="7" t="s">
        <v>454</v>
      </c>
      <c r="J39" s="12" t="s">
        <v>455</v>
      </c>
      <c r="K39" s="9" t="s">
        <v>63</v>
      </c>
      <c r="L39" s="7" t="s">
        <v>456</v>
      </c>
      <c r="M39" s="7" t="s">
        <v>457</v>
      </c>
      <c r="N39" s="9" t="s">
        <v>11</v>
      </c>
      <c r="O39" s="7" t="s">
        <v>458</v>
      </c>
      <c r="P39" s="11"/>
    </row>
    <row r="40" customFormat="false" ht="23.25" hidden="false" customHeight="true" outlineLevel="0" collapsed="false">
      <c r="A40" s="7" t="s">
        <v>459</v>
      </c>
      <c r="B40" s="7" t="s">
        <v>449</v>
      </c>
      <c r="C40" s="8" t="s">
        <v>460</v>
      </c>
      <c r="D40" s="7" t="s">
        <v>79</v>
      </c>
      <c r="E40" s="7" t="s">
        <v>461</v>
      </c>
      <c r="F40" s="7" t="s">
        <v>462</v>
      </c>
      <c r="G40" s="7" t="s">
        <v>463</v>
      </c>
      <c r="H40" s="7" t="s">
        <v>464</v>
      </c>
      <c r="I40" s="7" t="s">
        <v>465</v>
      </c>
      <c r="J40" s="12" t="s">
        <v>466</v>
      </c>
      <c r="K40" s="9" t="s">
        <v>63</v>
      </c>
      <c r="L40" s="7" t="s">
        <v>467</v>
      </c>
      <c r="M40" s="7" t="s">
        <v>468</v>
      </c>
      <c r="N40" s="9" t="s">
        <v>11</v>
      </c>
      <c r="O40" s="7" t="s">
        <v>469</v>
      </c>
      <c r="P40" s="11"/>
    </row>
    <row r="41" customFormat="false" ht="45.75" hidden="false" customHeight="true" outlineLevel="0" collapsed="false">
      <c r="A41" s="7" t="s">
        <v>470</v>
      </c>
      <c r="B41" s="7" t="s">
        <v>449</v>
      </c>
      <c r="C41" s="8" t="s">
        <v>471</v>
      </c>
      <c r="D41" s="7" t="s">
        <v>472</v>
      </c>
      <c r="E41" s="7" t="s">
        <v>473</v>
      </c>
      <c r="F41" s="7" t="s">
        <v>474</v>
      </c>
      <c r="G41" s="7" t="s">
        <v>475</v>
      </c>
      <c r="H41" s="7" t="s">
        <v>204</v>
      </c>
      <c r="I41" s="7" t="s">
        <v>476</v>
      </c>
      <c r="J41" s="12" t="s">
        <v>477</v>
      </c>
      <c r="K41" s="13" t="s">
        <v>105</v>
      </c>
      <c r="L41" s="7" t="s">
        <v>478</v>
      </c>
      <c r="M41" s="7"/>
      <c r="N41" s="9" t="s">
        <v>11</v>
      </c>
      <c r="O41" s="7" t="s">
        <v>479</v>
      </c>
      <c r="P41" s="11"/>
    </row>
    <row r="42" customFormat="false" ht="23.25" hidden="false" customHeight="true" outlineLevel="0" collapsed="false">
      <c r="A42" s="7" t="s">
        <v>480</v>
      </c>
      <c r="B42" s="7" t="s">
        <v>449</v>
      </c>
      <c r="C42" s="8" t="s">
        <v>481</v>
      </c>
      <c r="D42" s="7" t="s">
        <v>142</v>
      </c>
      <c r="E42" s="7" t="s">
        <v>482</v>
      </c>
      <c r="F42" s="7" t="s">
        <v>483</v>
      </c>
      <c r="G42" s="7" t="s">
        <v>484</v>
      </c>
      <c r="H42" s="7" t="s">
        <v>485</v>
      </c>
      <c r="I42" s="7" t="s">
        <v>486</v>
      </c>
      <c r="J42" s="12" t="s">
        <v>487</v>
      </c>
      <c r="K42" s="13" t="s">
        <v>105</v>
      </c>
      <c r="L42" s="7" t="s">
        <v>488</v>
      </c>
      <c r="M42" s="7"/>
      <c r="N42" s="9" t="s">
        <v>11</v>
      </c>
      <c r="O42" s="7" t="s">
        <v>469</v>
      </c>
      <c r="P42" s="11"/>
    </row>
    <row r="43" customFormat="false" ht="79.85" hidden="false" customHeight="false" outlineLevel="0" collapsed="false">
      <c r="A43" s="7" t="s">
        <v>489</v>
      </c>
      <c r="B43" s="7" t="s">
        <v>373</v>
      </c>
      <c r="C43" s="8" t="s">
        <v>490</v>
      </c>
      <c r="D43" s="7" t="s">
        <v>491</v>
      </c>
      <c r="E43" s="7" t="s">
        <v>492</v>
      </c>
      <c r="F43" s="7" t="s">
        <v>493</v>
      </c>
      <c r="G43" s="7" t="s">
        <v>494</v>
      </c>
      <c r="H43" s="7" t="s">
        <v>495</v>
      </c>
      <c r="I43" s="7" t="s">
        <v>496</v>
      </c>
      <c r="J43" s="12" t="s">
        <v>497</v>
      </c>
      <c r="K43" s="9" t="s">
        <v>63</v>
      </c>
      <c r="L43" s="7" t="s">
        <v>498</v>
      </c>
      <c r="M43" s="7" t="s">
        <v>499</v>
      </c>
      <c r="N43" s="10" t="s">
        <v>10</v>
      </c>
      <c r="O43" s="7" t="s">
        <v>500</v>
      </c>
      <c r="P43" s="11"/>
    </row>
  </sheetData>
  <autoFilter ref="A1:P43"/>
  <dataValidations count="1">
    <dataValidation allowBlank="true" errorStyle="stop" operator="between" showDropDown="false" showErrorMessage="false" showInputMessage="false" sqref="N2:N43" type="list">
      <formula1>"Descargado,Descargado y procesado,Parcial,Requiere pedido,No disponible,En línea (no descargable)"</formula1>
      <formula2>0</formula2>
    </dataValidation>
  </dataValidations>
  <hyperlinks>
    <hyperlink ref="J4" r:id="rId1" display="https://www.ine.gov.py/microdatos/"/>
    <hyperlink ref="J5" r:id="rId2" display="https://www.ine.gov.py/microdatos/"/>
    <hyperlink ref="J6" r:id="rId3" display="https://www.ine.gov.py/microdatos/"/>
    <hyperlink ref="J7" r:id="rId4" display="https://www.ine.gov.py/microdatos/"/>
    <hyperlink ref="J8" r:id="rId5" display="https://www.ine.gov.py/publicacion/4/pobreza"/>
    <hyperlink ref="J9" r:id="rId6" display="https://www.datos.gov.py/dataset/mapa-de-pobreza-monetaria-distrital"/>
    <hyperlink ref="J10" r:id="rId7" display="https://www.datos.gov.py/dataset/indice-de-pobreza-multidimensional-distrital"/>
    <hyperlink ref="J11" r:id="rId8" display="https://www.datos.gov.py/dataset/resultados-finales-del-censo-nacional-de-poblaci%C3%B3n-y-viviendas-2022"/>
    <hyperlink ref="J12" r:id="rId9" display="https://www.datos.gov.py/"/>
    <hyperlink ref="J13" r:id="rId10" display="https://redatam.org/es/procesar-en-linea/censos/pobviv"/>
    <hyperlink ref="J14" r:id="rId11" display="https://mopc.gov.py/red-vial/"/>
    <hyperlink ref="J15" r:id="rId12" display="https://mopc.gov.py/red-vial/"/>
    <hyperlink ref="J16" r:id="rId13" display="https://mopc.gov.py/red-vial/"/>
    <hyperlink ref="J17" r:id="rId14" display="https://mopc.gov.py/servicios/estado-de-las-rutas/"/>
    <hyperlink ref="J18" r:id="rId15" display="https://informacionpublica.paraguay.gov.py/"/>
    <hyperlink ref="J19" r:id="rId16" display="https://data.humdata.org/dataset/paraguay---risk-assessment-indicators"/>
    <hyperlink ref="J20" r:id="rId17" display="https://data.humdata.org/dataset/paraguay-road-surface-data"/>
    <hyperlink ref="J21" r:id="rId18" display="https://data.humdata.org/dataset/paraguay-planet-road-surface-data"/>
    <hyperlink ref="J22" r:id="rId19" display="https://data.humdata.org/dataset/hotosm_pry_roads"/>
    <hyperlink ref="J23" r:id="rId20" display="https://www.contrataciones.gov.py/datos/api/v3/doc/"/>
    <hyperlink ref="J24" r:id="rId21" display="https://www.datos.gov.py/search/field_topic/transporte-e-infraestructura-1"/>
    <hyperlink ref="J25" r:id="rId22" display="https://malariaatlas.org/"/>
    <hyperlink ref="J26" r:id="rId23" display="https://data.humdata.org/dataset/paraguay-accessibility-indicators"/>
    <hyperlink ref="J27" r:id="rId24" display="https://www.datos.gov.py/dataset/estableciminetos-sanitarios"/>
    <hyperlink ref="J28" r:id="rId25" display="https://datos.mec.gov.py/data/establecimientos"/>
    <hyperlink ref="J29" r:id="rId26" display="https://data.humdata.org/dataset/hotosm_pry_health_facilities"/>
    <hyperlink ref="J30" r:id="rId27" display="https://www.datos.gov.py/dataset/censo-agropecuario-nacional-can-2022"/>
    <hyperlink ref="J31" r:id="rId28" location="/geoportal" display="https://portal.gis.mag.gov.py/arcgis/apps/sites/#/geoportal"/>
    <hyperlink ref="J32" r:id="rId29" display="https://data.humdata.org/dataset/pry-rainfall-subnational"/>
    <hyperlink ref="J33" r:id="rId30" display="https://data.humdata.org/dataset/relative-wealth-index"/>
    <hyperlink ref="J34" r:id="rId31" display="https://data.worldpop.org/"/>
    <hyperlink ref="J35" r:id="rId32" display="https://www.meteorologia.gov.py/"/>
    <hyperlink ref="J36" r:id="rId33" display="https://publications.iadb.org/en/node/19880"/>
    <hyperlink ref="J37" r:id="rId34" display="https://www.caf.com/media/4672388/eval-expost-paraguay-caminos-vecinales-y-puentes.pdf"/>
    <hyperlink ref="J38" r:id="rId35" display="https://ewsdata.rightsindevelopment.org/files/documents/64/IADB-PR-L1164_fhNOJJp.pdf"/>
    <hyperlink ref="J39" r:id="rId36" display="https://www.ine.gov.py/microdatos/cartografia-digital-2022.php"/>
    <hyperlink ref="J40" r:id="rId37" display="https://www.ine.gov.py/microdatos/codigo-geografico-2022.php"/>
    <hyperlink ref="J41" r:id="rId38" display="https://data.humdata.org/dataset/cod-ab-pry"/>
    <hyperlink ref="J42" r:id="rId39" display="https://www.datos.gov.py/dataset/base-de-datos-geojson-geoespacial-de-departamentos-distritos-ciudades-y-barrios-de-todo-el"/>
    <hyperlink ref="J43" r:id="rId40" display="https://zenodo.org/records/1729474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  <col collapsed="false" customWidth="true" hidden="false" outlineLevel="0" max="3" min="3" style="1" width="40"/>
    <col collapsed="false" customWidth="true" hidden="false" outlineLevel="0" max="4" min="4" style="1" width="36"/>
    <col collapsed="false" customWidth="true" hidden="false" outlineLevel="0" max="5" min="5" style="1" width="18"/>
  </cols>
  <sheetData>
    <row r="1" customFormat="false" ht="15" hidden="false" customHeight="true" outlineLevel="0" collapsed="false">
      <c r="A1" s="18" t="s">
        <v>40</v>
      </c>
      <c r="B1" s="18" t="s">
        <v>501</v>
      </c>
      <c r="C1" s="18" t="s">
        <v>502</v>
      </c>
      <c r="D1" s="18" t="s">
        <v>503</v>
      </c>
      <c r="E1" s="18" t="s">
        <v>504</v>
      </c>
    </row>
    <row r="2" customFormat="false" ht="23.25" hidden="false" customHeight="true" outlineLevel="0" collapsed="false">
      <c r="A2" s="8" t="s">
        <v>222</v>
      </c>
      <c r="B2" s="7" t="s">
        <v>505</v>
      </c>
      <c r="C2" s="7" t="s">
        <v>506</v>
      </c>
      <c r="D2" s="7" t="s">
        <v>507</v>
      </c>
      <c r="E2" s="11" t="s">
        <v>508</v>
      </c>
    </row>
    <row r="3" customFormat="false" ht="15" hidden="false" customHeight="true" outlineLevel="0" collapsed="false">
      <c r="A3" s="8" t="s">
        <v>509</v>
      </c>
      <c r="B3" s="7" t="s">
        <v>510</v>
      </c>
      <c r="C3" s="7" t="s">
        <v>511</v>
      </c>
      <c r="D3" s="7" t="s">
        <v>512</v>
      </c>
      <c r="E3" s="11" t="s">
        <v>508</v>
      </c>
    </row>
    <row r="4" customFormat="false" ht="23.25" hidden="false" customHeight="true" outlineLevel="0" collapsed="false">
      <c r="A4" s="8" t="s">
        <v>513</v>
      </c>
      <c r="B4" s="7" t="s">
        <v>514</v>
      </c>
      <c r="C4" s="7" t="s">
        <v>515</v>
      </c>
      <c r="D4" s="7" t="s">
        <v>512</v>
      </c>
      <c r="E4" s="11" t="s">
        <v>508</v>
      </c>
    </row>
    <row r="5" customFormat="false" ht="23.25" hidden="false" customHeight="true" outlineLevel="0" collapsed="false">
      <c r="A5" s="8" t="s">
        <v>79</v>
      </c>
      <c r="B5" s="7" t="s">
        <v>516</v>
      </c>
      <c r="C5" s="7" t="s">
        <v>517</v>
      </c>
      <c r="D5" s="7" t="s">
        <v>518</v>
      </c>
      <c r="E5" s="11" t="s">
        <v>508</v>
      </c>
    </row>
    <row r="6" customFormat="false" ht="23.25" hidden="false" customHeight="true" outlineLevel="0" collapsed="false">
      <c r="A6" s="8" t="s">
        <v>353</v>
      </c>
      <c r="B6" s="7" t="s">
        <v>519</v>
      </c>
      <c r="C6" s="7" t="s">
        <v>359</v>
      </c>
      <c r="D6" s="7" t="s">
        <v>520</v>
      </c>
      <c r="E6" s="11" t="s">
        <v>508</v>
      </c>
    </row>
    <row r="7" customFormat="false" ht="15" hidden="false" customHeight="true" outlineLevel="0" collapsed="false">
      <c r="A7" s="8" t="s">
        <v>421</v>
      </c>
      <c r="B7" s="7" t="s">
        <v>521</v>
      </c>
      <c r="C7" s="7" t="s">
        <v>522</v>
      </c>
      <c r="D7" s="7" t="s">
        <v>523</v>
      </c>
      <c r="E7" s="11" t="s">
        <v>508</v>
      </c>
    </row>
    <row r="8" customFormat="false" ht="23.25" hidden="false" customHeight="true" outlineLevel="0" collapsed="false">
      <c r="A8" s="8" t="s">
        <v>276</v>
      </c>
      <c r="B8" s="7" t="s">
        <v>524</v>
      </c>
      <c r="C8" s="7" t="s">
        <v>525</v>
      </c>
      <c r="D8" s="7" t="s">
        <v>526</v>
      </c>
      <c r="E8" s="11" t="s">
        <v>508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2026-10-17T17:33:51Z</dcterms:created>
  <dc:creator>openpyxl</dc:creator>
  <dc:description/>
  <dc:language>en-US</dc:language>
  <cp:lastModifiedBy/>
  <dcterms:modified xsi:type="dcterms:W3CDTF">2026-10-21T22:37:53Z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