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0" yWindow="30" windowWidth="13470" windowHeight="7995" tabRatio="882" activeTab="1"/>
  </bookViews>
  <sheets>
    <sheet name="RESUMEN" sheetId="16" r:id="rId1"/>
    <sheet name="PAQUETE " sheetId="2" r:id="rId2"/>
    <sheet name="01 Concepción" sheetId="4" r:id="rId3"/>
    <sheet name="02 San Pedro" sheetId="1" r:id="rId4"/>
    <sheet name="03 Cordillera" sheetId="13" r:id="rId5"/>
    <sheet name="04 Guairá" sheetId="15" r:id="rId6"/>
    <sheet name="05 Caaguazú" sheetId="7" r:id="rId7"/>
    <sheet name="06 Caazapá" sheetId="12" r:id="rId8"/>
    <sheet name="07 Itapúa" sheetId="9" r:id="rId9"/>
    <sheet name="08 Misiones" sheetId="10" r:id="rId10"/>
    <sheet name="09 Paraguarí" sheetId="11" r:id="rId11"/>
    <sheet name="10 Alto Paraná" sheetId="6" r:id="rId12"/>
    <sheet name="12 Ñeembucú" sheetId="14" r:id="rId13"/>
    <sheet name="14 Canindeyú" sheetId="8" r:id="rId14"/>
  </sheets>
  <definedNames>
    <definedName name="_xlnm._FilterDatabase" localSheetId="2" hidden="1">'01 Concepción'!$A$4:$C$15</definedName>
    <definedName name="_xlnm._FilterDatabase" localSheetId="4" hidden="1">'03 Cordillera'!$A$5:$D$14</definedName>
    <definedName name="_xlnm._FilterDatabase" localSheetId="5" hidden="1">'04 Guairá'!$A$4:$C$27</definedName>
    <definedName name="_xlnm._FilterDatabase" localSheetId="6" hidden="1">'05 Caaguazú'!$A$4:$C$11</definedName>
    <definedName name="_xlnm._FilterDatabase" localSheetId="8" hidden="1">'07 Itapúa'!$A$4:$C$22</definedName>
    <definedName name="_xlnm._FilterDatabase" localSheetId="9" hidden="1">'08 Misiones'!$A$4:$C$13</definedName>
    <definedName name="_xlnm._FilterDatabase" localSheetId="10" hidden="1">'09 Paraguarí'!$A$4:$C$22</definedName>
    <definedName name="_xlnm._FilterDatabase" localSheetId="11" hidden="1">'10 Alto Paraná'!$A$4:$C$13</definedName>
    <definedName name="_xlnm._FilterDatabase" localSheetId="12" hidden="1">'12 Ñeembucú'!$A$5:$D$6</definedName>
    <definedName name="_xlnm._FilterDatabase" localSheetId="13" hidden="1">'14 Canindeyú'!$A$4:$C$7</definedName>
    <definedName name="_xlnm.Print_Area" localSheetId="2">'01 Concepción'!$A$1:$R$17</definedName>
    <definedName name="_xlnm.Print_Area" localSheetId="3">'02 San Pedro'!$A$1:$G$17</definedName>
    <definedName name="_xlnm.Print_Area" localSheetId="4">'03 Cordillera'!$A$1:$I$15</definedName>
    <definedName name="_xlnm.Print_Area" localSheetId="5">'04 Guairá'!$A$1:$R$29</definedName>
    <definedName name="_xlnm.Print_Area" localSheetId="6">'05 Caaguazú'!$A$1:$S$15</definedName>
    <definedName name="_xlnm.Print_Area" localSheetId="7">'06 Caazapá'!$A$1:$G$33</definedName>
    <definedName name="_xlnm.Print_Area" localSheetId="8">'07 Itapúa'!$A$1:$S$24</definedName>
    <definedName name="_xlnm.Print_Area" localSheetId="9">'08 Misiones'!$A$1:$R$14</definedName>
    <definedName name="_xlnm.Print_Area" localSheetId="10">'09 Paraguarí'!$A$1:$R$24</definedName>
    <definedName name="_xlnm.Print_Area" localSheetId="11">'10 Alto Paraná'!$A$1:$S$15</definedName>
    <definedName name="_xlnm.Print_Area" localSheetId="12">'12 Ñeembucú'!$A$1:$I$20</definedName>
    <definedName name="_xlnm.Print_Area" localSheetId="13">'14 Canindeyú'!$A$1:$S$31</definedName>
    <definedName name="_xlnm.Print_Area" localSheetId="1">'PAQUETE '!$D$5:$F$24</definedName>
    <definedName name="_xlnm.Print_Area" localSheetId="0">RESUMEN!$D$5:$F$18</definedName>
  </definedNames>
  <calcPr calcId="145621"/>
</workbook>
</file>

<file path=xl/calcChain.xml><?xml version="1.0" encoding="utf-8"?>
<calcChain xmlns="http://schemas.openxmlformats.org/spreadsheetml/2006/main">
  <c r="F6" i="16" l="1"/>
  <c r="F6" i="2" s="1"/>
  <c r="G17" i="4"/>
  <c r="E17" i="1"/>
  <c r="F7" i="16" s="1"/>
  <c r="F7" i="2" s="1"/>
  <c r="G14" i="10"/>
  <c r="F13" i="16" s="1"/>
  <c r="F20" i="2" s="1"/>
  <c r="G29" i="15"/>
  <c r="F9" i="16" s="1"/>
  <c r="F15" i="2" s="1"/>
  <c r="Q37" i="15"/>
  <c r="E20" i="14" l="1"/>
  <c r="F16" i="16" s="1"/>
  <c r="F21" i="2" s="1"/>
  <c r="E15" i="13" l="1"/>
  <c r="F8" i="16" s="1"/>
  <c r="F8" i="2" s="1"/>
  <c r="F9" i="2" s="1"/>
  <c r="D33" i="12" l="1"/>
  <c r="F11" i="16" s="1"/>
  <c r="F16" i="2" s="1"/>
  <c r="E34" i="12"/>
  <c r="E35" i="12"/>
  <c r="E36" i="12" s="1"/>
  <c r="D36" i="12"/>
  <c r="G24" i="11"/>
  <c r="F14" i="16" s="1"/>
  <c r="F17" i="2" s="1"/>
  <c r="Q32" i="11"/>
  <c r="F18" i="2" l="1"/>
  <c r="G24" i="9"/>
  <c r="F12" i="16" s="1"/>
  <c r="F19" i="2" s="1"/>
  <c r="F22" i="2" s="1"/>
  <c r="R32" i="9"/>
  <c r="H31" i="8" l="1"/>
  <c r="F17" i="16" s="1"/>
  <c r="F12" i="2" s="1"/>
  <c r="H15" i="7" l="1"/>
  <c r="F10" i="16" s="1"/>
  <c r="F10" i="2" s="1"/>
  <c r="G15" i="6" l="1"/>
  <c r="F15" i="16" s="1"/>
  <c r="F11" i="2" s="1"/>
  <c r="F13" i="2" s="1"/>
  <c r="F24" i="2" s="1"/>
  <c r="R23" i="6"/>
  <c r="F18" i="16" l="1"/>
  <c r="Q25" i="4" l="1"/>
</calcChain>
</file>

<file path=xl/sharedStrings.xml><?xml version="1.0" encoding="utf-8"?>
<sst xmlns="http://schemas.openxmlformats.org/spreadsheetml/2006/main" count="1058" uniqueCount="443">
  <si>
    <t>Planilla de Puentes</t>
  </si>
  <si>
    <t>CODIGO</t>
  </si>
  <si>
    <t>NOMBRE</t>
  </si>
  <si>
    <t>TIPO DE MATERIAL</t>
  </si>
  <si>
    <t>DIMENSIONES</t>
  </si>
  <si>
    <t>COORD GPS</t>
  </si>
  <si>
    <t>ANCHO</t>
  </si>
  <si>
    <t>LARGO</t>
  </si>
  <si>
    <t>Madera</t>
  </si>
  <si>
    <t>Total</t>
  </si>
  <si>
    <t>Tacuati - Nva Germania</t>
  </si>
  <si>
    <t>21K 529739 7368470</t>
  </si>
  <si>
    <t>Santa Rosa del Aguaray - Arroyo Atâ</t>
  </si>
  <si>
    <t>21J 542680 7374625</t>
  </si>
  <si>
    <t>21J 541432 7375256</t>
  </si>
  <si>
    <t>Calle Ma. Auxiliadora - Choré</t>
  </si>
  <si>
    <t>21J 548850 7328820</t>
  </si>
  <si>
    <t>Primavera Real - Yrybucuá</t>
  </si>
  <si>
    <t>21J</t>
  </si>
  <si>
    <t>21J 580784 7293385</t>
  </si>
  <si>
    <t>21J 582736 7297366</t>
  </si>
  <si>
    <t>21J 592031 7293396</t>
  </si>
  <si>
    <t>21J 592096 7292304</t>
  </si>
  <si>
    <t>Costa Po'i - Toro Ñu - Compañía Costa Ykuá</t>
  </si>
  <si>
    <t>21J 546172 7380813</t>
  </si>
  <si>
    <t xml:space="preserve"> SAN PEDRO</t>
  </si>
  <si>
    <t>CONCEPCIÓN</t>
  </si>
  <si>
    <t>SAN PEDRO</t>
  </si>
  <si>
    <t>CORDILLERA</t>
  </si>
  <si>
    <t>GUAIRÁ</t>
  </si>
  <si>
    <t>CAAGUAZÚ</t>
  </si>
  <si>
    <t>CAAZAPÁ</t>
  </si>
  <si>
    <t>ITAPÚA</t>
  </si>
  <si>
    <t>MISIONES</t>
  </si>
  <si>
    <t>PARAGUARÍ</t>
  </si>
  <si>
    <t>ALTO PARANÁ</t>
  </si>
  <si>
    <t>ÑEEMBUCÚ</t>
  </si>
  <si>
    <t>CANINDEYÚ</t>
  </si>
  <si>
    <t>LONG. (m.l.)</t>
  </si>
  <si>
    <t>TOTAL</t>
  </si>
  <si>
    <t>M</t>
  </si>
  <si>
    <t>TIERRA</t>
  </si>
  <si>
    <t>lon total:</t>
  </si>
  <si>
    <t>PM</t>
  </si>
  <si>
    <t>MEDIA</t>
  </si>
  <si>
    <t>BAJA</t>
  </si>
  <si>
    <t>21K 526683 7441681</t>
  </si>
  <si>
    <t>RUTA V - CALLE 20 NORTE</t>
  </si>
  <si>
    <t>V1-389-C</t>
  </si>
  <si>
    <t>21K 508006 7429573</t>
  </si>
  <si>
    <t>RUTA V - CALLE 9 NORTE</t>
  </si>
  <si>
    <t>V1-371-C</t>
  </si>
  <si>
    <t>21K 512919 7433374</t>
  </si>
  <si>
    <t>21K 508322 7439014</t>
  </si>
  <si>
    <t>ALTA</t>
  </si>
  <si>
    <t>RUTA V - CALLE 12 NORTE</t>
  </si>
  <si>
    <t>V1-377-C</t>
  </si>
  <si>
    <t>21K 460058 7412237</t>
  </si>
  <si>
    <t>CONCEPCIÓN - MARIA AUXILIADORA</t>
  </si>
  <si>
    <t>V1-155-C</t>
  </si>
  <si>
    <t>21K 459379 7425970</t>
  </si>
  <si>
    <t>COSTA PUCU - MBOCAYATY</t>
  </si>
  <si>
    <t>V1-158-C</t>
  </si>
  <si>
    <t>21K 458340 7430807</t>
  </si>
  <si>
    <t>CURUZU ÑU - ROBERTO L. PETIT</t>
  </si>
  <si>
    <t>V1-159-C</t>
  </si>
  <si>
    <t>21K 471782 7419193</t>
  </si>
  <si>
    <t>RUTA V KM 21 - LAS PALMAS</t>
  </si>
  <si>
    <t>V1-113-B</t>
  </si>
  <si>
    <t>B</t>
  </si>
  <si>
    <t>NO POSEE</t>
  </si>
  <si>
    <t>Mejoramiento y Rehabilitación</t>
  </si>
  <si>
    <t>Zanja Pyta - Capitan Bado</t>
  </si>
  <si>
    <t>2° Orden</t>
  </si>
  <si>
    <t>Origen - Destino</t>
  </si>
  <si>
    <t>Codigo</t>
  </si>
  <si>
    <t>LONGUITUD A PROYECTAR (KM)</t>
  </si>
  <si>
    <t>NIVEL DE INTERVENCION (U$S)</t>
  </si>
  <si>
    <t>ESTADO DEL TRAMO</t>
  </si>
  <si>
    <t>TIPO DE SUPERFICIE POR TRAMO</t>
  </si>
  <si>
    <t>Coordenadas UTM</t>
  </si>
  <si>
    <t>Tipo</t>
  </si>
  <si>
    <t>Ancho (m)</t>
  </si>
  <si>
    <t>Largo (m)</t>
  </si>
  <si>
    <t>RANGO</t>
  </si>
  <si>
    <t>ORIGEN - DESTINO</t>
  </si>
  <si>
    <t xml:space="preserve">LONGUITUD TOTAL (KM) </t>
  </si>
  <si>
    <t>Relevamiento de puentes</t>
  </si>
  <si>
    <t>PRIORIDAD</t>
  </si>
  <si>
    <t>PGM</t>
  </si>
  <si>
    <t>DESCRIPCION</t>
  </si>
  <si>
    <t>TIPO DE VIA</t>
  </si>
  <si>
    <t>LISTADO DE PUENTES DE  CONCEPCIÓN</t>
  </si>
  <si>
    <t>R</t>
  </si>
  <si>
    <t xml:space="preserve"> </t>
  </si>
  <si>
    <t>RIPIO / TIERRA</t>
  </si>
  <si>
    <t>CODIFICACION DE IDENTIFICACION DEL CAMINO VECINAL DE 2º ORDEN</t>
  </si>
  <si>
    <t>DEPTO.</t>
  </si>
  <si>
    <t>670286 7180925</t>
  </si>
  <si>
    <t>LOMA TAJY - VILLA SAN JUAN</t>
  </si>
  <si>
    <t>674588 7178054</t>
  </si>
  <si>
    <t>CAARENDY GUAZU - SANTA ROSA</t>
  </si>
  <si>
    <t>721439 7184718</t>
  </si>
  <si>
    <t>720757 7176157</t>
  </si>
  <si>
    <t>CALLE 20 MONDAY</t>
  </si>
  <si>
    <t>701704 7223382</t>
  </si>
  <si>
    <t>694378 7224563</t>
  </si>
  <si>
    <t>SAN ANTONIO - CRISTO REY</t>
  </si>
  <si>
    <t>COL. CAATIMIRI - ARROYO GUAZU</t>
  </si>
  <si>
    <t>LISTADO DE PUENTES DE  ALTO PARANA</t>
  </si>
  <si>
    <t>21J 631777 7177164</t>
  </si>
  <si>
    <t>Ripio *</t>
  </si>
  <si>
    <t>21J 628389 7185757</t>
  </si>
  <si>
    <t>PVP BM</t>
  </si>
  <si>
    <t>Camino 029 - Campo 9 - San Antonio</t>
  </si>
  <si>
    <t>21J 602541 7210905</t>
  </si>
  <si>
    <t>Mojón 7 - Guayaki Cua</t>
  </si>
  <si>
    <t>Contrato</t>
  </si>
  <si>
    <t>21J 528160 7167001</t>
  </si>
  <si>
    <t>21J 527541 7167499</t>
  </si>
  <si>
    <t>Calle 261 - Compañía Yhaca</t>
  </si>
  <si>
    <t>CV-005-4-13</t>
  </si>
  <si>
    <t>21J 545110 7185626</t>
  </si>
  <si>
    <t>La Novia - Espinillo</t>
  </si>
  <si>
    <t>CV 005-4-11</t>
  </si>
  <si>
    <t>21J 579684 7221170</t>
  </si>
  <si>
    <t>Cecilio Baez - Tacuaral - Comisaría Cue</t>
  </si>
  <si>
    <t>CV 005-3-6</t>
  </si>
  <si>
    <t>IMPORTANCIA</t>
  </si>
  <si>
    <t>LISTADO DE PUENTES DE CAAGUAZU</t>
  </si>
  <si>
    <t>21 722998 7298074</t>
  </si>
  <si>
    <t>Agricola Paraguay - Nueva Asunción</t>
  </si>
  <si>
    <t>21 705203 7330795</t>
  </si>
  <si>
    <t>21 703176 7330551</t>
  </si>
  <si>
    <t>Corpus Christi - Cerro Pyta - Fortuna - Ybyrarobana</t>
  </si>
  <si>
    <t>21 691770 7313851</t>
  </si>
  <si>
    <t>21 691561 7313915</t>
  </si>
  <si>
    <t>Empalme Ruta 10 - Colonia Ybypyta - Britez Cue - Ybyrarobana - Empalme Ruta 10</t>
  </si>
  <si>
    <t>21 625201 7277969</t>
  </si>
  <si>
    <t>21 622443 7278342</t>
  </si>
  <si>
    <t>21 620097 7278652</t>
  </si>
  <si>
    <t>21 617582 7278987</t>
  </si>
  <si>
    <t>2a Linea Acepar</t>
  </si>
  <si>
    <t>21 625393 7276016</t>
  </si>
  <si>
    <t>21 623413 7276302</t>
  </si>
  <si>
    <t>21 622340 7276428</t>
  </si>
  <si>
    <t>21 619226 7276800</t>
  </si>
  <si>
    <t>3a Linea Acepar</t>
  </si>
  <si>
    <t>21 626025 7273989</t>
  </si>
  <si>
    <t>21 623742 7274316</t>
  </si>
  <si>
    <t>4a Linea Acepar</t>
  </si>
  <si>
    <t>21 661992 7309138</t>
  </si>
  <si>
    <t>21 655021 7310466</t>
  </si>
  <si>
    <t>Villa Ygatimi - Col. 1º de Mayo - Karupera -Yvypyta</t>
  </si>
  <si>
    <t>LISTADO DE PUENTES DE CANINDEYU</t>
  </si>
  <si>
    <t>710007 7051908</t>
  </si>
  <si>
    <t>SAN RAFAEL - EMPALME 127</t>
  </si>
  <si>
    <t>666963 7063987</t>
  </si>
  <si>
    <t>RUTA VI - EMPALME 1617</t>
  </si>
  <si>
    <t>659522 7049081</t>
  </si>
  <si>
    <t>659673 7049765</t>
  </si>
  <si>
    <t>EDELIRA - EDELIRA KM54</t>
  </si>
  <si>
    <t>661240 7056853</t>
  </si>
  <si>
    <t>656776 7056248</t>
  </si>
  <si>
    <t>EDELIRA K65 - EDELIRA KM54</t>
  </si>
  <si>
    <t>677141 7046575</t>
  </si>
  <si>
    <t>SANTA LIBRADA - EMPALME 1607</t>
  </si>
  <si>
    <t>645961 7002877</t>
  </si>
  <si>
    <t>632995 7016206</t>
  </si>
  <si>
    <t>631613 7017625</t>
  </si>
  <si>
    <t>LAPACHAL - RUTA VI</t>
  </si>
  <si>
    <t>637902 7022895</t>
  </si>
  <si>
    <t>629292 7014512</t>
  </si>
  <si>
    <t>EMPALME 121 - EMPALME 141</t>
  </si>
  <si>
    <t>598566 7017989</t>
  </si>
  <si>
    <t>592054 7018775</t>
  </si>
  <si>
    <t>583435 7020163</t>
  </si>
  <si>
    <t>GUAZU YCUA - GRAL ARTIGAS</t>
  </si>
  <si>
    <t>585391 7015764</t>
  </si>
  <si>
    <t>ARTIGAS FRAM - EMPALME RUTA I</t>
  </si>
  <si>
    <t>LISTADO DE PUENTES DE  ITAPUA</t>
  </si>
  <si>
    <t>21J471978 6970894</t>
  </si>
  <si>
    <t>PANCHITO LOPEZ -EMPALME V081003</t>
  </si>
  <si>
    <t>V 081005</t>
  </si>
  <si>
    <t>21J531704 6998444</t>
  </si>
  <si>
    <t>21J531809 6998613</t>
  </si>
  <si>
    <t>21J532004 6998930</t>
  </si>
  <si>
    <t>21J532453 7008405</t>
  </si>
  <si>
    <t>V 080807</t>
  </si>
  <si>
    <t>21J513704 7012755</t>
  </si>
  <si>
    <t>21J514852 7016025</t>
  </si>
  <si>
    <t>SAN PATRICIO SANTA TERESA - CONCEPCION EMPALME V080503</t>
  </si>
  <si>
    <t>V 080504</t>
  </si>
  <si>
    <t>21J500378 7027589</t>
  </si>
  <si>
    <t>RUTA 1 SAN BLAS - HECTOR CUE RUTA A SANTA MARIA</t>
  </si>
  <si>
    <t>V 080304</t>
  </si>
  <si>
    <t>21J494681 7047908</t>
  </si>
  <si>
    <t>COMPAÑÍA SAN PEDRO - YSYPO</t>
  </si>
  <si>
    <t>V 080413</t>
  </si>
  <si>
    <t>AZCURRA ESTE</t>
  </si>
  <si>
    <t>LISTADO DE PUENTES DE MISIONES</t>
  </si>
  <si>
    <t>21J480536 7180435</t>
  </si>
  <si>
    <t>21J479636 7181296</t>
  </si>
  <si>
    <t>PIRAYU ESTE - EMPALME V090901</t>
  </si>
  <si>
    <t>V 090907</t>
  </si>
  <si>
    <t>21J478349 7108364</t>
  </si>
  <si>
    <t>RUTA 1 - ITAPE CURUCAO NORTE</t>
  </si>
  <si>
    <t>V 090318</t>
  </si>
  <si>
    <t>21J498853 7162467</t>
  </si>
  <si>
    <t>V 090908</t>
  </si>
  <si>
    <t>21J483112 7178692</t>
  </si>
  <si>
    <t>21J528042 7119422</t>
  </si>
  <si>
    <t>V 090801</t>
  </si>
  <si>
    <t>21J482103 7099557</t>
  </si>
  <si>
    <t>21J482220 7099751</t>
  </si>
  <si>
    <t>21J485504 7104112</t>
  </si>
  <si>
    <t>V 090301</t>
  </si>
  <si>
    <t>21J487488 7135469</t>
  </si>
  <si>
    <t>21J487132 7135508</t>
  </si>
  <si>
    <t>21J486365 7136266</t>
  </si>
  <si>
    <t>V 090225</t>
  </si>
  <si>
    <t>21J505963 7160731</t>
  </si>
  <si>
    <t>V 091306</t>
  </si>
  <si>
    <t>21J486864 7171615</t>
  </si>
  <si>
    <t>21J486996 7174323</t>
  </si>
  <si>
    <t>V 090101</t>
  </si>
  <si>
    <t>21J482329 7182669</t>
  </si>
  <si>
    <t>AZCURRA ESTE - EMPALME V 090907</t>
  </si>
  <si>
    <t>V 090901</t>
  </si>
  <si>
    <t>LISTADO DE PUENTES DE  PARAGUARI</t>
  </si>
  <si>
    <t>21J 594484 7117906</t>
  </si>
  <si>
    <t>Ancho</t>
  </si>
  <si>
    <t>Largo</t>
  </si>
  <si>
    <t>Hormigon Aº</t>
  </si>
  <si>
    <t>FAPEP</t>
  </si>
  <si>
    <t>Abai - Taruma - Tuna</t>
  </si>
  <si>
    <t>CV-06-22</t>
  </si>
  <si>
    <t>21J 609882 7133052</t>
  </si>
  <si>
    <t>Cruce Borda - San Agustin</t>
  </si>
  <si>
    <t>CV-06-020</t>
  </si>
  <si>
    <t>21J 590448 7105755</t>
  </si>
  <si>
    <t>21J 586429 7106107</t>
  </si>
  <si>
    <t>21J 578457 7102431</t>
  </si>
  <si>
    <t xml:space="preserve">21J 575925 7102509 </t>
  </si>
  <si>
    <t>21J 575047 7100051</t>
  </si>
  <si>
    <t>Boqueron - Buena Vista</t>
  </si>
  <si>
    <t>CV-06-019</t>
  </si>
  <si>
    <t>21J 532730 7088814</t>
  </si>
  <si>
    <t>21J 533780 7092774</t>
  </si>
  <si>
    <t>21J 533741 7093149</t>
  </si>
  <si>
    <t>Ruta Nº8 - Caracaraí - San Miguel (Loteí)</t>
  </si>
  <si>
    <t>CV-06-011</t>
  </si>
  <si>
    <t>21J 546838 7101133</t>
  </si>
  <si>
    <t>21J 571524 7105878</t>
  </si>
  <si>
    <t>21J 574585 7106533</t>
  </si>
  <si>
    <t>Gral. Morínigo - San Antonio - Caazapá</t>
  </si>
  <si>
    <t>CV-06-008</t>
  </si>
  <si>
    <t>Abaí - Durazno - Cnia. Km 50</t>
  </si>
  <si>
    <t>CV-06-004</t>
  </si>
  <si>
    <t>21J 631978 7111065</t>
  </si>
  <si>
    <t>21J 632399 7107874</t>
  </si>
  <si>
    <t>21J 632194 7105786</t>
  </si>
  <si>
    <t>Enramadita - Cantina Cué</t>
  </si>
  <si>
    <t>CV-06-001</t>
  </si>
  <si>
    <t>LONG. TOTAL</t>
  </si>
  <si>
    <t>21J 515779 7170689</t>
  </si>
  <si>
    <t>Valenzuela - Potrero Oculto</t>
  </si>
  <si>
    <t>21J 517804 7180094</t>
  </si>
  <si>
    <t>Loma Jovy (Empalme Ruta Itacurubí - Valenzuela) - Cariloma (Empalme Ruta 2)</t>
  </si>
  <si>
    <t>21J 514959 7187482</t>
  </si>
  <si>
    <t>Itacuribi de la Cordillera - Isla Pucu</t>
  </si>
  <si>
    <t>21J 501432 7206251</t>
  </si>
  <si>
    <t>Empalme Camino a Eusebio Ayala - Mompox Acosta Ñu</t>
  </si>
  <si>
    <t>21J 480893 7202466</t>
  </si>
  <si>
    <t>Tayu Cañada - Empalme Camino a Atyra - Empalme Ruta 2</t>
  </si>
  <si>
    <t>21J 494435 7213279</t>
  </si>
  <si>
    <t>21J 494729 7214182</t>
  </si>
  <si>
    <t>Tovati - Potrerito (Empalme Ruta Arroyos y Esteros - 1° de Marzo)</t>
  </si>
  <si>
    <t>21J 471796 7221870</t>
  </si>
  <si>
    <t>Empalme Ruta 3 Guayaivity - Siraty</t>
  </si>
  <si>
    <t>ORDEN DE
PRIORIDAD</t>
  </si>
  <si>
    <t>LISTADO DE PUENTES DE CORDILLERA</t>
  </si>
  <si>
    <t>21J 374338 7014595</t>
  </si>
  <si>
    <t>21J 375627 7013247</t>
  </si>
  <si>
    <t>21J 355900 6999983</t>
  </si>
  <si>
    <t>21J 399478 6990824</t>
  </si>
  <si>
    <t>21J 428005 6983340</t>
  </si>
  <si>
    <t>21J 431236 6981647</t>
  </si>
  <si>
    <t>21J 436880 6978124</t>
  </si>
  <si>
    <t>21J 439499 6981636</t>
  </si>
  <si>
    <t>21J 439231 6982423</t>
  </si>
  <si>
    <t>21J 438987 6983132</t>
  </si>
  <si>
    <t>21J 438103 6984263</t>
  </si>
  <si>
    <t>21J 379616 7002100</t>
  </si>
  <si>
    <t>21J 379404 7001904</t>
  </si>
  <si>
    <t>LISTADO DE PUENTES DE ÑEEMBUCU</t>
  </si>
  <si>
    <t>21J 560032 7114851</t>
  </si>
  <si>
    <t>21J 559515 7115065</t>
  </si>
  <si>
    <t>ITURBE - CAATYMI ESTE</t>
  </si>
  <si>
    <t>V040910</t>
  </si>
  <si>
    <t>21J 538661 7139842</t>
  </si>
  <si>
    <t>ITAPE - RUTA BOQUERON</t>
  </si>
  <si>
    <t>V040817</t>
  </si>
  <si>
    <t>21J 591178 7145218</t>
  </si>
  <si>
    <t>21J 583716 7147646</t>
  </si>
  <si>
    <t>SANTA CECILIA - YROYSA 8VA LINEA ESTE</t>
  </si>
  <si>
    <t>V040718</t>
  </si>
  <si>
    <t>21J 578762 7155167</t>
  </si>
  <si>
    <t>COL. INDEPENDENCIA - SANTA CECILIA</t>
  </si>
  <si>
    <t>V040734</t>
  </si>
  <si>
    <t>21J 591371 7152375</t>
  </si>
  <si>
    <t>21J 591184 7151589</t>
  </si>
  <si>
    <t>21J 609743 7142800</t>
  </si>
  <si>
    <t>21J 609728 7142815</t>
  </si>
  <si>
    <t>21J 609130 7143117</t>
  </si>
  <si>
    <t>21J 608899 7143338</t>
  </si>
  <si>
    <t>21J 605899 7144963</t>
  </si>
  <si>
    <t>21J 604465 7144482</t>
  </si>
  <si>
    <t>21J 604406 7144582</t>
  </si>
  <si>
    <t>21J 599998 7153675</t>
  </si>
  <si>
    <t>21J 600373 7155219</t>
  </si>
  <si>
    <t>PASO YOBAY - MANGRULLO</t>
  </si>
  <si>
    <t>V041719</t>
  </si>
  <si>
    <t>21J 575261 7162644</t>
  </si>
  <si>
    <t>21J 572471 7162195</t>
  </si>
  <si>
    <t>21J 571200 7161754</t>
  </si>
  <si>
    <t>NATALICIO TALAVERA - EMPALME V041203</t>
  </si>
  <si>
    <t>V041202</t>
  </si>
  <si>
    <t>21J 560273 7156153</t>
  </si>
  <si>
    <t>MBOCAYATY - SANTA BARBARA NORESTE</t>
  </si>
  <si>
    <t>V041102</t>
  </si>
  <si>
    <t>21J 557241 7160819</t>
  </si>
  <si>
    <t>21J 557189 7160736</t>
  </si>
  <si>
    <t>LOMA BARRERO OESTE - EMPALME V041105</t>
  </si>
  <si>
    <t>V041104</t>
  </si>
  <si>
    <t>LISTADO DE PUENTES DE  GUAIRA</t>
  </si>
  <si>
    <t>Cerrito - Emp. Ruta Villabín - Laureles</t>
  </si>
  <si>
    <t>Cerrito - Isla Ro'y</t>
  </si>
  <si>
    <t>Humaitá - Tuyucué - Loma</t>
  </si>
  <si>
    <t>21J 355398 7001260</t>
  </si>
  <si>
    <t>SAN ANTONIO - SAN FELIPE - SANTIAGO</t>
  </si>
  <si>
    <t>21J 548841 7102689</t>
  </si>
  <si>
    <t>21J 537357 7099100</t>
  </si>
  <si>
    <t>Desvío Loteí - Corralito</t>
  </si>
  <si>
    <t>CV-06-012</t>
  </si>
  <si>
    <t>21J 536021 7090868</t>
  </si>
  <si>
    <t>21J 601006 7121426</t>
  </si>
  <si>
    <t>Santa María - Pindoyú</t>
  </si>
  <si>
    <t>V-06-0500</t>
  </si>
  <si>
    <t>CAAZAPA</t>
  </si>
  <si>
    <t>Ruta 2 - Nueva Londres</t>
  </si>
  <si>
    <t>CV-005-32</t>
  </si>
  <si>
    <t>21J 544217 7189192</t>
  </si>
  <si>
    <t>ARROYO PORA - GUAZU CUA</t>
  </si>
  <si>
    <t>COMANDO ARTILLERIA - MBATOVI NORTE</t>
  </si>
  <si>
    <t>SAPUCAI - GUAZU CUA</t>
  </si>
  <si>
    <t>ACAHAY - RUTA ACAHAY CARAPEGUA YEGUARIZO</t>
  </si>
  <si>
    <t>CAAPUCU - YAGARETECUA ESTE</t>
  </si>
  <si>
    <t>COSTA PUCU SUR - ISLA NARANJA NORTE</t>
  </si>
  <si>
    <t>DESVÍO PIRECA - POTRERO DEL CARMEN</t>
  </si>
  <si>
    <t>21J 563392 7312395</t>
  </si>
  <si>
    <t>Ruta 3 - Colonia Felicidad</t>
  </si>
  <si>
    <t>21J 561297 7324694</t>
  </si>
  <si>
    <t>Calle San Isidro Este - Paraguay Pyahu - Amistad</t>
  </si>
  <si>
    <t>V1-112-B</t>
  </si>
  <si>
    <t>PASO BARRETO - CRUCE X</t>
  </si>
  <si>
    <t>21K 464281 7456246</t>
  </si>
  <si>
    <t>DISTRITO</t>
  </si>
  <si>
    <t>Concepción</t>
  </si>
  <si>
    <t>Horqueta</t>
  </si>
  <si>
    <t>Nva. Germania</t>
  </si>
  <si>
    <t>Choré</t>
  </si>
  <si>
    <t>Liberación</t>
  </si>
  <si>
    <t>Yrybucuá</t>
  </si>
  <si>
    <t>Emboscada</t>
  </si>
  <si>
    <t>San Bernardino</t>
  </si>
  <si>
    <t>Tobatí</t>
  </si>
  <si>
    <t>Eusebio Ayala</t>
  </si>
  <si>
    <t>Itacurubí</t>
  </si>
  <si>
    <t>Valenzuela</t>
  </si>
  <si>
    <t>Itapé</t>
  </si>
  <si>
    <t>Mbocayaty</t>
  </si>
  <si>
    <t>Natalicio Talavera</t>
  </si>
  <si>
    <t>Col. Independencia</t>
  </si>
  <si>
    <t>Paso Yobai</t>
  </si>
  <si>
    <t>Iturbe</t>
  </si>
  <si>
    <t>San José De Los Arroyos</t>
  </si>
  <si>
    <t>Nva. Londres</t>
  </si>
  <si>
    <t>Cecilio Báez</t>
  </si>
  <si>
    <t>Juan Manuel Frutos</t>
  </si>
  <si>
    <t>Caaguazú</t>
  </si>
  <si>
    <t>Maciel</t>
  </si>
  <si>
    <t>21J 537291 7099023</t>
  </si>
  <si>
    <t>Moisés Bertoni</t>
  </si>
  <si>
    <t>Caazapá</t>
  </si>
  <si>
    <t>Buena Vista</t>
  </si>
  <si>
    <t>Gral. Morínigo</t>
  </si>
  <si>
    <t>Abaí</t>
  </si>
  <si>
    <t>Gral. Artigas</t>
  </si>
  <si>
    <t>San Pedro del Paraná</t>
  </si>
  <si>
    <t>Obligado</t>
  </si>
  <si>
    <t>Edelira</t>
  </si>
  <si>
    <t>San Rafel del Paraná</t>
  </si>
  <si>
    <t>Bella Vista</t>
  </si>
  <si>
    <t>San Miguel</t>
  </si>
  <si>
    <t>San Ignacio</t>
  </si>
  <si>
    <t>Santa Rosa</t>
  </si>
  <si>
    <t>Santiago</t>
  </si>
  <si>
    <t>Yabebyry</t>
  </si>
  <si>
    <t>Caapucú</t>
  </si>
  <si>
    <t>Acahay</t>
  </si>
  <si>
    <t>Sapucai</t>
  </si>
  <si>
    <t>Paraguarí</t>
  </si>
  <si>
    <t>Pirayú</t>
  </si>
  <si>
    <t>Mbuyapey</t>
  </si>
  <si>
    <t>Juan León Mallorquín</t>
  </si>
  <si>
    <t>Minga Guazú</t>
  </si>
  <si>
    <t>Itakyry</t>
  </si>
  <si>
    <t>Minga Porá</t>
  </si>
  <si>
    <t>Isla Umbú</t>
  </si>
  <si>
    <t>Desmochados</t>
  </si>
  <si>
    <t>Humaitá</t>
  </si>
  <si>
    <t>Mayor Martínez</t>
  </si>
  <si>
    <t>Cerrito</t>
  </si>
  <si>
    <t>Ype Jhu</t>
  </si>
  <si>
    <t>Villa Ygatimi</t>
  </si>
  <si>
    <t>21 662330 7307598</t>
  </si>
  <si>
    <t>Yasy Kañy</t>
  </si>
  <si>
    <t>Corpus Christi</t>
  </si>
  <si>
    <t>Ybyrarobana</t>
  </si>
  <si>
    <t>Katueté</t>
  </si>
  <si>
    <t>21J 578014 7221501</t>
  </si>
  <si>
    <t>21J 579042 7224003</t>
  </si>
  <si>
    <t xml:space="preserve"> Isla Umbu - Mayor Martinez </t>
  </si>
  <si>
    <t>Villa Ygatimi - Itanara mi - Koe pora - Asent. Primavera - 8 de Diciembre</t>
  </si>
  <si>
    <t>21632624 7333963</t>
  </si>
  <si>
    <t>21 626023 7339391</t>
  </si>
  <si>
    <t>21 619965 7340264</t>
  </si>
  <si>
    <t>21 619866 7340402</t>
  </si>
  <si>
    <t>21 619833 7340448</t>
  </si>
  <si>
    <t>21 619789  7340527</t>
  </si>
  <si>
    <t>21 619072  7341418</t>
  </si>
  <si>
    <t>21 617046 7343001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</si>
</sst>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\ _€_-;\-* #,##0.00\ _€_-;_-* &quot;-&quot;??\ _€_-;_-@_-"/>
    <numFmt numFmtId="165" formatCode="_-* #,##0.0\ _€_-;\-* #,##0.0\ _€_-;_-* &quot;-&quot;??\ _€_-;_-@_-"/>
    <numFmt numFmtId="166" formatCode="#,##0.000"/>
    <numFmt numFmtId="167" formatCode="#,##0&quot; J&quot;"/>
    <numFmt numFmtId="168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i/>
      <u/>
      <sz val="14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b/>
      <sz val="16"/>
      <name val="Arial Narrow"/>
      <family val="2"/>
    </font>
    <font>
      <b/>
      <sz val="11"/>
      <name val="Arial"/>
      <family val="2"/>
    </font>
    <font>
      <b/>
      <sz val="14"/>
      <name val="Arial Narrow"/>
      <family val="2"/>
    </font>
    <font>
      <b/>
      <sz val="11"/>
      <name val="Arial Narrow"/>
      <family val="2"/>
    </font>
    <font>
      <i/>
      <sz val="10"/>
      <name val="Arial"/>
      <family val="2"/>
    </font>
    <font>
      <b/>
      <i/>
      <u/>
      <sz val="16"/>
      <name val="Arial"/>
      <family val="2"/>
    </font>
    <font>
      <sz val="14"/>
      <name val="Arial Narrow"/>
      <family val="2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sz val="10"/>
      <color rgb="FFFF0000"/>
      <name val="Arial Narrow"/>
      <family val="2"/>
    </font>
    <font>
      <b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06">
    <xf numFmtId="0" fontId="0" fillId="0" borderId="0" xfId="0"/>
    <xf numFmtId="0" fontId="3" fillId="0" borderId="0" xfId="1" applyFont="1" applyBorder="1" applyAlignment="1">
      <alignment vertical="center"/>
    </xf>
    <xf numFmtId="0" fontId="4" fillId="2" borderId="0" xfId="1" applyFont="1" applyFill="1" applyBorder="1" applyAlignment="1"/>
    <xf numFmtId="0" fontId="1" fillId="0" borderId="0" xfId="2"/>
    <xf numFmtId="4" fontId="2" fillId="2" borderId="7" xfId="1" applyNumberFormat="1" applyFill="1" applyBorder="1" applyAlignment="1">
      <alignment horizontal="center" vertical="center"/>
    </xf>
    <xf numFmtId="0" fontId="2" fillId="2" borderId="0" xfId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center" vertical="center"/>
    </xf>
    <xf numFmtId="0" fontId="2" fillId="2" borderId="7" xfId="1" applyFill="1" applyBorder="1" applyAlignment="1">
      <alignment horizontal="center" vertical="center"/>
    </xf>
    <xf numFmtId="0" fontId="2" fillId="2" borderId="7" xfId="1" applyFill="1" applyBorder="1" applyAlignment="1">
      <alignment horizontal="center" vertical="center" wrapText="1"/>
    </xf>
    <xf numFmtId="0" fontId="0" fillId="0" borderId="7" xfId="0" applyBorder="1"/>
    <xf numFmtId="0" fontId="8" fillId="0" borderId="0" xfId="0" applyFont="1" applyAlignment="1">
      <alignment horizontal="right"/>
    </xf>
    <xf numFmtId="43" fontId="8" fillId="0" borderId="0" xfId="3" applyFont="1"/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43" fontId="0" fillId="0" borderId="7" xfId="3" applyFont="1" applyBorder="1"/>
    <xf numFmtId="0" fontId="9" fillId="0" borderId="0" xfId="1" applyFont="1" applyFill="1"/>
    <xf numFmtId="0" fontId="9" fillId="0" borderId="0" xfId="1" applyFont="1" applyFill="1" applyAlignment="1">
      <alignment horizontal="center"/>
    </xf>
    <xf numFmtId="2" fontId="9" fillId="0" borderId="0" xfId="1" applyNumberFormat="1" applyFont="1" applyFill="1"/>
    <xf numFmtId="3" fontId="9" fillId="0" borderId="0" xfId="1" applyNumberFormat="1" applyFont="1" applyFill="1"/>
    <xf numFmtId="2" fontId="10" fillId="0" borderId="0" xfId="1" applyNumberFormat="1" applyFont="1" applyFill="1" applyAlignment="1">
      <alignment horizontal="center"/>
    </xf>
    <xf numFmtId="3" fontId="9" fillId="0" borderId="7" xfId="1" applyNumberFormat="1" applyFont="1" applyFill="1" applyBorder="1" applyAlignment="1">
      <alignment horizontal="center" vertical="center"/>
    </xf>
    <xf numFmtId="165" fontId="10" fillId="0" borderId="7" xfId="4" applyNumberFormat="1" applyFont="1" applyFill="1" applyBorder="1" applyAlignment="1">
      <alignment horizontal="center" vertical="center" wrapText="1"/>
    </xf>
    <xf numFmtId="3" fontId="9" fillId="0" borderId="7" xfId="1" applyNumberFormat="1" applyFont="1" applyFill="1" applyBorder="1" applyAlignment="1">
      <alignment horizontal="center"/>
    </xf>
    <xf numFmtId="0" fontId="9" fillId="0" borderId="0" xfId="1" applyFont="1" applyFill="1" applyBorder="1" applyAlignment="1">
      <alignment vertical="center"/>
    </xf>
    <xf numFmtId="2" fontId="9" fillId="0" borderId="13" xfId="1" applyNumberFormat="1" applyFont="1" applyFill="1" applyBorder="1" applyAlignment="1">
      <alignment horizontal="center"/>
    </xf>
    <xf numFmtId="0" fontId="11" fillId="0" borderId="0" xfId="1" applyFont="1" applyFill="1" applyAlignment="1">
      <alignment horizontal="center"/>
    </xf>
    <xf numFmtId="0" fontId="9" fillId="0" borderId="7" xfId="1" applyFont="1" applyFill="1" applyBorder="1" applyAlignment="1">
      <alignment horizontal="center" vertical="center"/>
    </xf>
    <xf numFmtId="0" fontId="12" fillId="0" borderId="7" xfId="1" applyFont="1" applyFill="1" applyBorder="1" applyAlignment="1">
      <alignment horizontal="center" vertical="center"/>
    </xf>
    <xf numFmtId="0" fontId="9" fillId="0" borderId="7" xfId="1" applyFont="1" applyFill="1" applyBorder="1" applyAlignment="1">
      <alignment vertical="center" wrapText="1"/>
    </xf>
    <xf numFmtId="0" fontId="9" fillId="0" borderId="0" xfId="1" applyFont="1" applyFill="1" applyAlignment="1">
      <alignment wrapText="1"/>
    </xf>
    <xf numFmtId="0" fontId="14" fillId="0" borderId="0" xfId="1" applyFont="1" applyFill="1" applyBorder="1" applyAlignment="1"/>
    <xf numFmtId="165" fontId="11" fillId="0" borderId="0" xfId="1" applyNumberFormat="1" applyFont="1" applyFill="1" applyAlignment="1"/>
    <xf numFmtId="0" fontId="11" fillId="0" borderId="0" xfId="1" applyFont="1" applyFill="1" applyAlignment="1">
      <alignment horizontal="right"/>
    </xf>
    <xf numFmtId="0" fontId="9" fillId="0" borderId="7" xfId="1" applyFont="1" applyFill="1" applyBorder="1" applyAlignment="1">
      <alignment horizontal="center"/>
    </xf>
    <xf numFmtId="1" fontId="9" fillId="0" borderId="0" xfId="1" applyNumberFormat="1" applyFont="1" applyFill="1"/>
    <xf numFmtId="0" fontId="9" fillId="4" borderId="7" xfId="1" applyFont="1" applyFill="1" applyBorder="1" applyAlignment="1">
      <alignment horizontal="center" vertical="center"/>
    </xf>
    <xf numFmtId="0" fontId="0" fillId="0" borderId="0" xfId="0" applyBorder="1"/>
    <xf numFmtId="0" fontId="8" fillId="0" borderId="0" xfId="0" applyFont="1" applyBorder="1" applyAlignment="1">
      <alignment horizontal="center"/>
    </xf>
    <xf numFmtId="165" fontId="10" fillId="0" borderId="12" xfId="4" applyNumberFormat="1" applyFont="1" applyFill="1" applyBorder="1" applyAlignment="1">
      <alignment horizontal="left" vertical="center" wrapText="1"/>
    </xf>
    <xf numFmtId="165" fontId="10" fillId="0" borderId="11" xfId="4" applyNumberFormat="1" applyFont="1" applyFill="1" applyBorder="1" applyAlignment="1">
      <alignment horizontal="right" vertical="center" wrapText="1"/>
    </xf>
    <xf numFmtId="0" fontId="12" fillId="0" borderId="7" xfId="1" applyFont="1" applyFill="1" applyBorder="1" applyAlignment="1">
      <alignment horizontal="left" vertical="center"/>
    </xf>
    <xf numFmtId="0" fontId="9" fillId="0" borderId="7" xfId="1" applyFont="1" applyFill="1" applyBorder="1" applyAlignment="1">
      <alignment horizontal="left" vertical="center"/>
    </xf>
    <xf numFmtId="0" fontId="9" fillId="0" borderId="11" xfId="1" applyFont="1" applyFill="1" applyBorder="1" applyAlignment="1">
      <alignment horizontal="left"/>
    </xf>
    <xf numFmtId="166" fontId="9" fillId="4" borderId="10" xfId="4" applyNumberFormat="1" applyFont="1" applyFill="1" applyBorder="1" applyAlignment="1">
      <alignment horizontal="center" vertical="center" wrapText="1"/>
    </xf>
    <xf numFmtId="168" fontId="9" fillId="0" borderId="0" xfId="4" applyNumberFormat="1" applyFont="1" applyFill="1" applyAlignment="1">
      <alignment horizontal="center"/>
    </xf>
    <xf numFmtId="0" fontId="10" fillId="0" borderId="0" xfId="1" applyFont="1" applyFill="1"/>
    <xf numFmtId="0" fontId="10" fillId="0" borderId="7" xfId="4" applyNumberFormat="1" applyFont="1" applyFill="1" applyBorder="1" applyAlignment="1">
      <alignment horizontal="center" vertical="center" wrapText="1"/>
    </xf>
    <xf numFmtId="43" fontId="9" fillId="0" borderId="0" xfId="4" applyFont="1" applyFill="1" applyAlignment="1">
      <alignment horizontal="center"/>
    </xf>
    <xf numFmtId="43" fontId="10" fillId="0" borderId="0" xfId="4" applyFont="1" applyFill="1" applyAlignment="1">
      <alignment horizontal="center"/>
    </xf>
    <xf numFmtId="43" fontId="9" fillId="0" borderId="7" xfId="4" applyFont="1" applyFill="1" applyBorder="1" applyAlignment="1">
      <alignment horizontal="center" vertical="center" wrapText="1"/>
    </xf>
    <xf numFmtId="43" fontId="10" fillId="3" borderId="7" xfId="4" applyFont="1" applyFill="1" applyBorder="1" applyAlignment="1">
      <alignment horizontal="center" vertical="center" wrapText="1"/>
    </xf>
    <xf numFmtId="167" fontId="2" fillId="0" borderId="7" xfId="1" applyNumberFormat="1" applyFill="1" applyBorder="1" applyAlignment="1">
      <alignment horizontal="right" vertical="center" indent="1"/>
    </xf>
    <xf numFmtId="0" fontId="2" fillId="0" borderId="0" xfId="1" applyFont="1" applyFill="1" applyBorder="1" applyAlignment="1">
      <alignment horizontal="center"/>
    </xf>
    <xf numFmtId="4" fontId="2" fillId="0" borderId="0" xfId="1" applyNumberFormat="1" applyFont="1" applyFill="1" applyBorder="1" applyAlignment="1">
      <alignment horizontal="center"/>
    </xf>
    <xf numFmtId="0" fontId="2" fillId="0" borderId="0" xfId="1" applyFill="1"/>
    <xf numFmtId="0" fontId="3" fillId="0" borderId="0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vertical="center"/>
    </xf>
    <xf numFmtId="4" fontId="3" fillId="0" borderId="0" xfId="1" applyNumberFormat="1" applyFont="1" applyFill="1" applyBorder="1" applyAlignment="1">
      <alignment horizontal="center" vertical="center"/>
    </xf>
    <xf numFmtId="0" fontId="16" fillId="0" borderId="0" xfId="1" applyFont="1" applyFill="1" applyBorder="1" applyAlignment="1">
      <alignment horizontal="center"/>
    </xf>
    <xf numFmtId="0" fontId="4" fillId="0" borderId="0" xfId="1" applyFont="1" applyFill="1" applyBorder="1" applyAlignment="1">
      <alignment horizontal="left"/>
    </xf>
    <xf numFmtId="0" fontId="4" fillId="0" borderId="0" xfId="1" applyFont="1" applyFill="1" applyBorder="1" applyAlignment="1"/>
    <xf numFmtId="4" fontId="4" fillId="0" borderId="0" xfId="1" applyNumberFormat="1" applyFont="1" applyFill="1" applyBorder="1" applyAlignment="1">
      <alignment horizontal="center"/>
    </xf>
    <xf numFmtId="0" fontId="2" fillId="0" borderId="0" xfId="1" applyFill="1" applyBorder="1" applyAlignment="1">
      <alignment horizontal="center"/>
    </xf>
    <xf numFmtId="0" fontId="2" fillId="0" borderId="0" xfId="1" applyFill="1" applyBorder="1"/>
    <xf numFmtId="4" fontId="2" fillId="0" borderId="0" xfId="1" applyNumberFormat="1" applyFill="1" applyBorder="1" applyAlignment="1">
      <alignment horizontal="center"/>
    </xf>
    <xf numFmtId="14" fontId="2" fillId="0" borderId="7" xfId="1" applyNumberFormat="1" applyFill="1" applyBorder="1" applyAlignment="1">
      <alignment horizontal="left"/>
    </xf>
    <xf numFmtId="4" fontId="2" fillId="0" borderId="7" xfId="1" applyNumberFormat="1" applyFill="1" applyBorder="1" applyAlignment="1">
      <alignment horizontal="center"/>
    </xf>
    <xf numFmtId="0" fontId="2" fillId="0" borderId="0" xfId="1" applyFill="1" applyAlignment="1"/>
    <xf numFmtId="0" fontId="2" fillId="0" borderId="7" xfId="1" applyFill="1" applyBorder="1" applyAlignment="1">
      <alignment horizontal="center"/>
    </xf>
    <xf numFmtId="14" fontId="2" fillId="0" borderId="7" xfId="1" applyNumberFormat="1" applyFill="1" applyBorder="1" applyAlignment="1">
      <alignment horizontal="center" vertical="center"/>
    </xf>
    <xf numFmtId="0" fontId="2" fillId="0" borderId="7" xfId="1" applyFill="1" applyBorder="1" applyAlignment="1">
      <alignment horizontal="center" vertical="center"/>
    </xf>
    <xf numFmtId="0" fontId="2" fillId="0" borderId="4" xfId="1" applyFill="1" applyBorder="1" applyAlignment="1">
      <alignment horizontal="center" vertical="center"/>
    </xf>
    <xf numFmtId="4" fontId="2" fillId="0" borderId="23" xfId="1" applyNumberFormat="1" applyFill="1" applyBorder="1" applyAlignment="1">
      <alignment horizontal="center"/>
    </xf>
    <xf numFmtId="0" fontId="2" fillId="0" borderId="5" xfId="1" applyFill="1" applyBorder="1" applyAlignment="1">
      <alignment horizontal="center" vertical="center"/>
    </xf>
    <xf numFmtId="4" fontId="2" fillId="0" borderId="6" xfId="1" applyNumberFormat="1" applyFill="1" applyBorder="1" applyAlignment="1">
      <alignment horizontal="center"/>
    </xf>
    <xf numFmtId="0" fontId="2" fillId="0" borderId="1" xfId="1" applyFill="1" applyBorder="1" applyAlignment="1">
      <alignment horizontal="center" vertical="center"/>
    </xf>
    <xf numFmtId="4" fontId="2" fillId="0" borderId="2" xfId="1" applyNumberFormat="1" applyFill="1" applyBorder="1" applyAlignment="1">
      <alignment horizontal="center"/>
    </xf>
    <xf numFmtId="0" fontId="2" fillId="0" borderId="0" xfId="1" applyFill="1" applyBorder="1" applyAlignment="1"/>
    <xf numFmtId="0" fontId="2" fillId="0" borderId="0" xfId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right" vertical="center"/>
    </xf>
    <xf numFmtId="4" fontId="3" fillId="0" borderId="0" xfId="1" applyNumberFormat="1" applyFont="1" applyFill="1" applyBorder="1" applyAlignment="1">
      <alignment horizontal="center"/>
    </xf>
    <xf numFmtId="0" fontId="2" fillId="0" borderId="0" xfId="1" applyFill="1" applyAlignment="1">
      <alignment horizontal="center"/>
    </xf>
    <xf numFmtId="0" fontId="2" fillId="0" borderId="16" xfId="1" applyFill="1" applyBorder="1"/>
    <xf numFmtId="3" fontId="2" fillId="0" borderId="10" xfId="1" applyNumberFormat="1" applyFill="1" applyBorder="1" applyAlignment="1">
      <alignment horizontal="center" vertical="center"/>
    </xf>
    <xf numFmtId="4" fontId="2" fillId="0" borderId="10" xfId="1" applyNumberFormat="1" applyFill="1" applyBorder="1" applyAlignment="1">
      <alignment horizontal="center" vertical="center"/>
    </xf>
    <xf numFmtId="0" fontId="2" fillId="0" borderId="12" xfId="1" applyFill="1" applyBorder="1"/>
    <xf numFmtId="0" fontId="5" fillId="0" borderId="25" xfId="1" applyFont="1" applyFill="1" applyBorder="1"/>
    <xf numFmtId="4" fontId="5" fillId="0" borderId="3" xfId="1" applyNumberFormat="1" applyFont="1" applyFill="1" applyBorder="1" applyAlignment="1">
      <alignment horizontal="center"/>
    </xf>
    <xf numFmtId="4" fontId="2" fillId="0" borderId="0" xfId="1" applyNumberFormat="1" applyFill="1" applyAlignment="1">
      <alignment horizontal="center"/>
    </xf>
    <xf numFmtId="0" fontId="9" fillId="0" borderId="8" xfId="1" applyFont="1" applyFill="1" applyBorder="1" applyAlignment="1">
      <alignment horizontal="center" vertical="center"/>
    </xf>
    <xf numFmtId="0" fontId="9" fillId="0" borderId="8" xfId="1" applyFont="1" applyFill="1" applyBorder="1" applyAlignment="1">
      <alignment horizontal="left" vertical="center" wrapText="1"/>
    </xf>
    <xf numFmtId="165" fontId="10" fillId="0" borderId="8" xfId="4" applyNumberFormat="1" applyFont="1" applyFill="1" applyBorder="1" applyAlignment="1">
      <alignment horizontal="center" vertical="center" wrapText="1"/>
    </xf>
    <xf numFmtId="165" fontId="10" fillId="0" borderId="10" xfId="4" applyNumberFormat="1" applyFont="1" applyFill="1" applyBorder="1" applyAlignment="1">
      <alignment horizontal="center" vertical="center" wrapText="1"/>
    </xf>
    <xf numFmtId="2" fontId="9" fillId="0" borderId="11" xfId="1" applyNumberFormat="1" applyFont="1" applyFill="1" applyBorder="1" applyAlignment="1">
      <alignment horizontal="center"/>
    </xf>
    <xf numFmtId="2" fontId="9" fillId="0" borderId="11" xfId="1" applyNumberFormat="1" applyFont="1" applyFill="1" applyBorder="1" applyAlignment="1">
      <alignment horizontal="center" vertical="center"/>
    </xf>
    <xf numFmtId="2" fontId="9" fillId="0" borderId="12" xfId="1" applyNumberFormat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center"/>
    </xf>
    <xf numFmtId="0" fontId="9" fillId="0" borderId="12" xfId="1" applyFont="1" applyFill="1" applyBorder="1" applyAlignment="1">
      <alignment horizontal="center"/>
    </xf>
    <xf numFmtId="0" fontId="9" fillId="0" borderId="11" xfId="1" applyFont="1" applyFill="1" applyBorder="1" applyAlignment="1">
      <alignment horizontal="center" vertical="center"/>
    </xf>
    <xf numFmtId="0" fontId="9" fillId="0" borderId="12" xfId="1" applyFont="1" applyFill="1" applyBorder="1" applyAlignment="1">
      <alignment horizontal="center" vertical="center"/>
    </xf>
    <xf numFmtId="166" fontId="9" fillId="3" borderId="8" xfId="4" applyNumberFormat="1" applyFont="1" applyFill="1" applyBorder="1" applyAlignment="1">
      <alignment horizontal="center" vertical="center" wrapText="1"/>
    </xf>
    <xf numFmtId="166" fontId="9" fillId="3" borderId="9" xfId="4" applyNumberFormat="1" applyFont="1" applyFill="1" applyBorder="1" applyAlignment="1">
      <alignment horizontal="center" vertical="center" wrapText="1"/>
    </xf>
    <xf numFmtId="166" fontId="9" fillId="3" borderId="10" xfId="4" applyNumberFormat="1" applyFont="1" applyFill="1" applyBorder="1" applyAlignment="1">
      <alignment horizontal="center" vertical="center" wrapText="1"/>
    </xf>
    <xf numFmtId="0" fontId="9" fillId="0" borderId="8" xfId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horizontal="center" vertical="center"/>
    </xf>
    <xf numFmtId="165" fontId="10" fillId="0" borderId="7" xfId="4" applyNumberFormat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horizontal="left" vertical="center" wrapText="1"/>
    </xf>
    <xf numFmtId="166" fontId="9" fillId="0" borderId="7" xfId="4" applyNumberFormat="1" applyFont="1" applyFill="1" applyBorder="1" applyAlignment="1">
      <alignment horizontal="center" vertical="center" wrapText="1"/>
    </xf>
    <xf numFmtId="165" fontId="10" fillId="0" borderId="9" xfId="4" applyNumberFormat="1" applyFont="1" applyFill="1" applyBorder="1" applyAlignment="1">
      <alignment horizontal="center" vertical="center" wrapText="1"/>
    </xf>
    <xf numFmtId="4" fontId="9" fillId="0" borderId="11" xfId="1" applyNumberFormat="1" applyFont="1" applyFill="1" applyBorder="1" applyAlignment="1">
      <alignment horizontal="center"/>
    </xf>
    <xf numFmtId="4" fontId="9" fillId="0" borderId="12" xfId="1" applyNumberFormat="1" applyFont="1" applyFill="1" applyBorder="1" applyAlignment="1">
      <alignment horizontal="center"/>
    </xf>
    <xf numFmtId="2" fontId="9" fillId="0" borderId="13" xfId="1" applyNumberFormat="1" applyFont="1" applyFill="1" applyBorder="1" applyAlignment="1">
      <alignment horizontal="center" vertical="center"/>
    </xf>
    <xf numFmtId="2" fontId="9" fillId="0" borderId="18" xfId="1" applyNumberFormat="1" applyFont="1" applyFill="1" applyBorder="1" applyAlignment="1">
      <alignment horizontal="center" vertical="center"/>
    </xf>
    <xf numFmtId="3" fontId="9" fillId="0" borderId="8" xfId="1" applyNumberFormat="1" applyFont="1" applyFill="1" applyBorder="1" applyAlignment="1">
      <alignment horizontal="center" vertical="center"/>
    </xf>
    <xf numFmtId="3" fontId="9" fillId="0" borderId="10" xfId="1" applyNumberFormat="1" applyFont="1" applyFill="1" applyBorder="1" applyAlignment="1">
      <alignment horizontal="center" vertical="center"/>
    </xf>
    <xf numFmtId="2" fontId="9" fillId="0" borderId="20" xfId="1" applyNumberFormat="1" applyFont="1" applyFill="1" applyBorder="1" applyAlignment="1">
      <alignment horizontal="center" vertical="center"/>
    </xf>
    <xf numFmtId="3" fontId="9" fillId="0" borderId="9" xfId="1" applyNumberFormat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166" fontId="9" fillId="3" borderId="7" xfId="4" applyNumberFormat="1" applyFont="1" applyFill="1" applyBorder="1" applyAlignment="1">
      <alignment horizontal="center" vertical="center" wrapText="1"/>
    </xf>
    <xf numFmtId="166" fontId="10" fillId="3" borderId="7" xfId="4" applyNumberFormat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168" fontId="10" fillId="3" borderId="7" xfId="4" applyNumberFormat="1" applyFont="1" applyFill="1" applyBorder="1" applyAlignment="1">
      <alignment horizontal="center" vertical="center" wrapText="1"/>
    </xf>
    <xf numFmtId="2" fontId="9" fillId="0" borderId="14" xfId="1" applyNumberFormat="1" applyFont="1" applyFill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/>
    </xf>
    <xf numFmtId="0" fontId="17" fillId="0" borderId="0" xfId="1" applyFont="1" applyFill="1"/>
    <xf numFmtId="0" fontId="13" fillId="0" borderId="0" xfId="1" applyFont="1" applyFill="1" applyAlignment="1">
      <alignment horizontal="right"/>
    </xf>
    <xf numFmtId="165" fontId="13" fillId="0" borderId="0" xfId="1" applyNumberFormat="1" applyFont="1" applyFill="1" applyAlignment="1">
      <alignment horizontal="right"/>
    </xf>
    <xf numFmtId="166" fontId="9" fillId="0" borderId="8" xfId="4" applyNumberFormat="1" applyFont="1" applyFill="1" applyBorder="1" applyAlignment="1">
      <alignment horizontal="center" vertical="center" wrapText="1"/>
    </xf>
    <xf numFmtId="166" fontId="9" fillId="0" borderId="13" xfId="4" applyNumberFormat="1" applyFont="1" applyFill="1" applyBorder="1" applyAlignment="1">
      <alignment horizontal="center" vertical="center" wrapText="1"/>
    </xf>
    <xf numFmtId="166" fontId="9" fillId="0" borderId="9" xfId="4" applyNumberFormat="1" applyFont="1" applyFill="1" applyBorder="1" applyAlignment="1">
      <alignment horizontal="center" vertical="center" wrapText="1"/>
    </xf>
    <xf numFmtId="166" fontId="9" fillId="0" borderId="20" xfId="4" applyNumberFormat="1" applyFont="1" applyFill="1" applyBorder="1" applyAlignment="1">
      <alignment horizontal="center" vertical="center" wrapText="1"/>
    </xf>
    <xf numFmtId="166" fontId="9" fillId="0" borderId="10" xfId="4" applyNumberFormat="1" applyFont="1" applyFill="1" applyBorder="1" applyAlignment="1">
      <alignment horizontal="center" vertical="center" wrapText="1"/>
    </xf>
    <xf numFmtId="166" fontId="9" fillId="0" borderId="18" xfId="4" applyNumberFormat="1" applyFont="1" applyFill="1" applyBorder="1" applyAlignment="1">
      <alignment horizontal="center" vertical="center" wrapText="1"/>
    </xf>
    <xf numFmtId="0" fontId="9" fillId="0" borderId="11" xfId="1" applyFont="1" applyFill="1" applyBorder="1" applyAlignment="1">
      <alignment horizontal="left" vertical="center"/>
    </xf>
    <xf numFmtId="4" fontId="9" fillId="0" borderId="22" xfId="1" applyNumberFormat="1" applyFont="1" applyFill="1" applyBorder="1" applyAlignment="1">
      <alignment horizontal="center"/>
    </xf>
    <xf numFmtId="166" fontId="9" fillId="0" borderId="16" xfId="4" applyNumberFormat="1" applyFont="1" applyFill="1" applyBorder="1" applyAlignment="1">
      <alignment horizontal="center" vertical="center" wrapText="1"/>
    </xf>
    <xf numFmtId="0" fontId="5" fillId="0" borderId="7" xfId="1" applyFont="1" applyFill="1" applyBorder="1" applyAlignment="1">
      <alignment horizontal="left" vertical="center"/>
    </xf>
    <xf numFmtId="0" fontId="14" fillId="4" borderId="0" xfId="1" applyFont="1" applyFill="1" applyBorder="1" applyAlignment="1"/>
    <xf numFmtId="0" fontId="9" fillId="4" borderId="0" xfId="1" applyFont="1" applyFill="1"/>
    <xf numFmtId="0" fontId="9" fillId="4" borderId="0" xfId="1" applyFont="1" applyFill="1" applyAlignment="1">
      <alignment horizontal="center"/>
    </xf>
    <xf numFmtId="166" fontId="9" fillId="4" borderId="8" xfId="4" applyNumberFormat="1" applyFont="1" applyFill="1" applyBorder="1" applyAlignment="1">
      <alignment horizontal="center" vertical="center" wrapText="1"/>
    </xf>
    <xf numFmtId="166" fontId="9" fillId="4" borderId="13" xfId="4" applyNumberFormat="1" applyFont="1" applyFill="1" applyBorder="1" applyAlignment="1">
      <alignment horizontal="center" vertical="center" wrapText="1"/>
    </xf>
    <xf numFmtId="0" fontId="9" fillId="4" borderId="0" xfId="1" applyFont="1" applyFill="1" applyAlignment="1">
      <alignment wrapText="1"/>
    </xf>
    <xf numFmtId="166" fontId="9" fillId="4" borderId="9" xfId="4" applyNumberFormat="1" applyFont="1" applyFill="1" applyBorder="1" applyAlignment="1">
      <alignment horizontal="center" vertical="center" wrapText="1"/>
    </xf>
    <xf numFmtId="166" fontId="9" fillId="4" borderId="20" xfId="4" applyNumberFormat="1" applyFont="1" applyFill="1" applyBorder="1" applyAlignment="1">
      <alignment horizontal="center" vertical="center" wrapText="1"/>
    </xf>
    <xf numFmtId="166" fontId="9" fillId="4" borderId="18" xfId="4" applyNumberFormat="1" applyFont="1" applyFill="1" applyBorder="1" applyAlignment="1">
      <alignment horizontal="center" vertical="center" wrapText="1"/>
    </xf>
    <xf numFmtId="3" fontId="9" fillId="4" borderId="7" xfId="1" applyNumberFormat="1" applyFont="1" applyFill="1" applyBorder="1" applyAlignment="1">
      <alignment horizontal="center" vertical="center"/>
    </xf>
    <xf numFmtId="2" fontId="9" fillId="4" borderId="11" xfId="1" applyNumberFormat="1" applyFont="1" applyFill="1" applyBorder="1" applyAlignment="1">
      <alignment horizontal="center"/>
    </xf>
    <xf numFmtId="0" fontId="9" fillId="4" borderId="0" xfId="1" applyFont="1" applyFill="1" applyBorder="1" applyAlignment="1">
      <alignment vertical="center"/>
    </xf>
    <xf numFmtId="0" fontId="9" fillId="4" borderId="11" xfId="1" applyFont="1" applyFill="1" applyBorder="1" applyAlignment="1">
      <alignment horizontal="center" vertical="center"/>
    </xf>
    <xf numFmtId="0" fontId="9" fillId="4" borderId="12" xfId="1" applyFont="1" applyFill="1" applyBorder="1" applyAlignment="1">
      <alignment horizontal="center" vertical="center"/>
    </xf>
    <xf numFmtId="3" fontId="9" fillId="4" borderId="8" xfId="1" applyNumberFormat="1" applyFont="1" applyFill="1" applyBorder="1" applyAlignment="1">
      <alignment horizontal="center" vertical="center"/>
    </xf>
    <xf numFmtId="2" fontId="9" fillId="4" borderId="11" xfId="1" applyNumberFormat="1" applyFont="1" applyFill="1" applyBorder="1" applyAlignment="1">
      <alignment horizontal="center" vertical="center"/>
    </xf>
    <xf numFmtId="2" fontId="9" fillId="4" borderId="12" xfId="1" applyNumberFormat="1" applyFont="1" applyFill="1" applyBorder="1" applyAlignment="1">
      <alignment horizontal="center" vertical="center"/>
    </xf>
    <xf numFmtId="2" fontId="9" fillId="4" borderId="13" xfId="1" applyNumberFormat="1" applyFont="1" applyFill="1" applyBorder="1" applyAlignment="1">
      <alignment horizontal="center"/>
    </xf>
    <xf numFmtId="0" fontId="9" fillId="4" borderId="8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left" vertical="center" wrapText="1"/>
    </xf>
    <xf numFmtId="0" fontId="9" fillId="4" borderId="7" xfId="1" applyFont="1" applyFill="1" applyBorder="1" applyAlignment="1">
      <alignment horizontal="center" vertical="center" wrapText="1"/>
    </xf>
    <xf numFmtId="165" fontId="10" fillId="4" borderId="8" xfId="4" applyNumberFormat="1" applyFont="1" applyFill="1" applyBorder="1" applyAlignment="1">
      <alignment horizontal="center" vertical="center" wrapText="1"/>
    </xf>
    <xf numFmtId="165" fontId="10" fillId="4" borderId="7" xfId="4" applyNumberFormat="1" applyFont="1" applyFill="1" applyBorder="1" applyAlignment="1">
      <alignment horizontal="center" vertical="center" wrapText="1"/>
    </xf>
    <xf numFmtId="165" fontId="10" fillId="4" borderId="9" xfId="4" applyNumberFormat="1" applyFont="1" applyFill="1" applyBorder="1" applyAlignment="1">
      <alignment horizontal="center" vertical="center" wrapText="1"/>
    </xf>
    <xf numFmtId="2" fontId="9" fillId="4" borderId="13" xfId="1" applyNumberFormat="1" applyFont="1" applyFill="1" applyBorder="1" applyAlignment="1">
      <alignment horizontal="center" vertical="center"/>
    </xf>
    <xf numFmtId="2" fontId="9" fillId="4" borderId="14" xfId="1" applyNumberFormat="1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left" vertical="center"/>
    </xf>
    <xf numFmtId="0" fontId="9" fillId="4" borderId="8" xfId="1" applyFont="1" applyFill="1" applyBorder="1" applyAlignment="1">
      <alignment vertical="center" wrapText="1"/>
    </xf>
    <xf numFmtId="0" fontId="12" fillId="4" borderId="15" xfId="1" applyFont="1" applyFill="1" applyBorder="1" applyAlignment="1">
      <alignment horizontal="center" vertical="center"/>
    </xf>
    <xf numFmtId="0" fontId="12" fillId="4" borderId="7" xfId="1" applyFont="1" applyFill="1" applyBorder="1" applyAlignment="1">
      <alignment horizontal="center" vertical="center"/>
    </xf>
    <xf numFmtId="0" fontId="9" fillId="4" borderId="7" xfId="1" applyFont="1" applyFill="1" applyBorder="1" applyAlignment="1">
      <alignment vertical="center" wrapText="1"/>
    </xf>
    <xf numFmtId="0" fontId="11" fillId="4" borderId="0" xfId="1" applyFont="1" applyFill="1" applyAlignment="1">
      <alignment horizontal="center"/>
    </xf>
    <xf numFmtId="165" fontId="11" fillId="4" borderId="0" xfId="1" applyNumberFormat="1" applyFont="1" applyFill="1" applyAlignment="1"/>
    <xf numFmtId="3" fontId="9" fillId="4" borderId="7" xfId="1" applyNumberFormat="1" applyFont="1" applyFill="1" applyBorder="1" applyAlignment="1">
      <alignment horizontal="center"/>
    </xf>
    <xf numFmtId="2" fontId="10" fillId="4" borderId="0" xfId="1" applyNumberFormat="1" applyFont="1" applyFill="1" applyAlignment="1">
      <alignment horizontal="center"/>
    </xf>
    <xf numFmtId="3" fontId="9" fillId="4" borderId="0" xfId="1" applyNumberFormat="1" applyFont="1" applyFill="1"/>
    <xf numFmtId="2" fontId="9" fillId="4" borderId="0" xfId="1" applyNumberFormat="1" applyFont="1" applyFill="1"/>
    <xf numFmtId="0" fontId="6" fillId="3" borderId="7" xfId="1" applyFont="1" applyFill="1" applyBorder="1" applyAlignment="1">
      <alignment horizontal="center"/>
    </xf>
    <xf numFmtId="4" fontId="6" fillId="3" borderId="7" xfId="1" applyNumberFormat="1" applyFont="1" applyFill="1" applyBorder="1" applyAlignment="1">
      <alignment horizontal="center"/>
    </xf>
    <xf numFmtId="0" fontId="9" fillId="4" borderId="8" xfId="1" applyFont="1" applyFill="1" applyBorder="1" applyAlignment="1">
      <alignment horizontal="center" vertical="center"/>
    </xf>
    <xf numFmtId="165" fontId="10" fillId="4" borderId="8" xfId="4" applyNumberFormat="1" applyFont="1" applyFill="1" applyBorder="1" applyAlignment="1">
      <alignment horizontal="center" vertical="center" wrapText="1"/>
    </xf>
    <xf numFmtId="165" fontId="10" fillId="4" borderId="10" xfId="4" applyNumberFormat="1" applyFont="1" applyFill="1" applyBorder="1" applyAlignment="1">
      <alignment horizontal="center" vertical="center" wrapText="1"/>
    </xf>
    <xf numFmtId="0" fontId="9" fillId="4" borderId="11" xfId="1" applyFont="1" applyFill="1" applyBorder="1" applyAlignment="1">
      <alignment horizontal="center" vertical="center"/>
    </xf>
    <xf numFmtId="0" fontId="9" fillId="4" borderId="12" xfId="1" applyFont="1" applyFill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horizontal="center" vertical="center"/>
    </xf>
    <xf numFmtId="0" fontId="10" fillId="0" borderId="7" xfId="4" applyNumberFormat="1" applyFont="1" applyFill="1" applyBorder="1" applyAlignment="1">
      <alignment horizontal="center" vertical="center" wrapText="1"/>
    </xf>
    <xf numFmtId="165" fontId="10" fillId="0" borderId="7" xfId="4" applyNumberFormat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horizontal="left" vertical="center" wrapText="1"/>
    </xf>
    <xf numFmtId="0" fontId="9" fillId="0" borderId="7" xfId="1" applyFont="1" applyFill="1" applyBorder="1" applyAlignment="1">
      <alignment vertical="center" wrapText="1"/>
    </xf>
    <xf numFmtId="165" fontId="10" fillId="0" borderId="9" xfId="4" applyNumberFormat="1" applyFont="1" applyFill="1" applyBorder="1" applyAlignment="1">
      <alignment horizontal="center" vertical="center" wrapText="1"/>
    </xf>
    <xf numFmtId="0" fontId="9" fillId="0" borderId="11" xfId="1" applyFont="1" applyFill="1" applyBorder="1" applyAlignment="1">
      <alignment horizontal="center" vertical="center"/>
    </xf>
    <xf numFmtId="0" fontId="9" fillId="0" borderId="12" xfId="1" applyFont="1" applyFill="1" applyBorder="1" applyAlignment="1">
      <alignment horizontal="center" vertical="center"/>
    </xf>
    <xf numFmtId="3" fontId="9" fillId="0" borderId="8" xfId="1" applyNumberFormat="1" applyFont="1" applyFill="1" applyBorder="1" applyAlignment="1">
      <alignment horizontal="center" vertical="center"/>
    </xf>
    <xf numFmtId="2" fontId="9" fillId="0" borderId="13" xfId="1" applyNumberFormat="1" applyFont="1" applyFill="1" applyBorder="1" applyAlignment="1">
      <alignment horizontal="center" vertical="center"/>
    </xf>
    <xf numFmtId="0" fontId="2" fillId="0" borderId="7" xfId="1" applyFill="1" applyBorder="1" applyAlignment="1">
      <alignment horizontal="center" vertical="center"/>
    </xf>
    <xf numFmtId="2" fontId="9" fillId="0" borderId="14" xfId="1" applyNumberFormat="1" applyFont="1" applyFill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/>
    </xf>
    <xf numFmtId="165" fontId="10" fillId="0" borderId="7" xfId="4" applyNumberFormat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horizontal="left" vertical="center" wrapText="1"/>
    </xf>
    <xf numFmtId="0" fontId="9" fillId="0" borderId="11" xfId="1" applyFont="1" applyFill="1" applyBorder="1" applyAlignment="1">
      <alignment horizontal="center" vertical="center"/>
    </xf>
    <xf numFmtId="0" fontId="9" fillId="0" borderId="12" xfId="1" applyFont="1" applyFill="1" applyBorder="1" applyAlignment="1">
      <alignment horizontal="center" vertical="center"/>
    </xf>
    <xf numFmtId="165" fontId="10" fillId="0" borderId="9" xfId="4" applyNumberFormat="1" applyFont="1" applyFill="1" applyBorder="1" applyAlignment="1">
      <alignment horizontal="center" vertical="center" wrapText="1"/>
    </xf>
    <xf numFmtId="3" fontId="9" fillId="0" borderId="8" xfId="1" applyNumberFormat="1" applyFont="1" applyFill="1" applyBorder="1" applyAlignment="1">
      <alignment horizontal="center" vertical="center"/>
    </xf>
    <xf numFmtId="2" fontId="9" fillId="0" borderId="13" xfId="1" applyNumberFormat="1" applyFont="1" applyFill="1" applyBorder="1" applyAlignment="1">
      <alignment horizontal="center" vertical="center"/>
    </xf>
    <xf numFmtId="2" fontId="9" fillId="0" borderId="14" xfId="1" applyNumberFormat="1" applyFont="1" applyFill="1" applyBorder="1" applyAlignment="1">
      <alignment horizontal="center" vertical="center"/>
    </xf>
    <xf numFmtId="0" fontId="2" fillId="2" borderId="7" xfId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9" fillId="0" borderId="0" xfId="1" applyFont="1" applyFill="1" applyAlignment="1">
      <alignment horizontal="left"/>
    </xf>
    <xf numFmtId="0" fontId="9" fillId="0" borderId="7" xfId="1" quotePrefix="1" applyFont="1" applyFill="1" applyBorder="1" applyAlignment="1">
      <alignment vertical="center" wrapText="1"/>
    </xf>
    <xf numFmtId="0" fontId="9" fillId="0" borderId="8" xfId="1" quotePrefix="1" applyFont="1" applyFill="1" applyBorder="1" applyAlignment="1">
      <alignment vertical="center" wrapText="1"/>
    </xf>
    <xf numFmtId="0" fontId="9" fillId="0" borderId="0" xfId="1" applyFont="1" applyFill="1" applyAlignment="1"/>
    <xf numFmtId="0" fontId="2" fillId="0" borderId="7" xfId="1" applyFill="1" applyBorder="1" applyAlignment="1">
      <alignment horizontal="left"/>
    </xf>
    <xf numFmtId="0" fontId="2" fillId="0" borderId="7" xfId="1" applyFill="1" applyBorder="1" applyAlignment="1">
      <alignment horizontal="left" vertical="center"/>
    </xf>
    <xf numFmtId="0" fontId="2" fillId="0" borderId="0" xfId="1" applyFill="1" applyBorder="1" applyAlignment="1">
      <alignment horizontal="left" vertical="center"/>
    </xf>
    <xf numFmtId="0" fontId="17" fillId="0" borderId="0" xfId="1" applyFont="1" applyFill="1" applyAlignment="1"/>
    <xf numFmtId="0" fontId="2" fillId="0" borderId="7" xfId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0" fillId="0" borderId="7" xfId="0" applyFill="1" applyBorder="1"/>
    <xf numFmtId="0" fontId="2" fillId="0" borderId="10" xfId="1" applyFill="1" applyBorder="1" applyAlignment="1">
      <alignment horizontal="left" vertical="center" wrapText="1"/>
    </xf>
    <xf numFmtId="4" fontId="2" fillId="0" borderId="7" xfId="1" applyNumberFormat="1" applyFill="1" applyBorder="1" applyAlignment="1">
      <alignment horizontal="center" vertical="center"/>
    </xf>
    <xf numFmtId="0" fontId="0" fillId="0" borderId="0" xfId="0" applyFill="1"/>
    <xf numFmtId="0" fontId="2" fillId="0" borderId="7" xfId="1" applyFont="1" applyFill="1" applyBorder="1" applyAlignment="1">
      <alignment horizontal="center" vertical="center" wrapText="1"/>
    </xf>
    <xf numFmtId="0" fontId="18" fillId="0" borderId="7" xfId="0" applyFont="1" applyFill="1" applyBorder="1"/>
    <xf numFmtId="0" fontId="2" fillId="0" borderId="10" xfId="1" applyFont="1" applyFill="1" applyBorder="1" applyAlignment="1">
      <alignment horizontal="left" vertical="center" wrapText="1"/>
    </xf>
    <xf numFmtId="0" fontId="2" fillId="0" borderId="7" xfId="1" applyFont="1" applyFill="1" applyBorder="1" applyAlignment="1">
      <alignment horizontal="center" vertical="center"/>
    </xf>
    <xf numFmtId="4" fontId="2" fillId="0" borderId="7" xfId="1" applyNumberFormat="1" applyFont="1" applyFill="1" applyBorder="1" applyAlignment="1">
      <alignment horizontal="center" vertical="center"/>
    </xf>
    <xf numFmtId="0" fontId="18" fillId="0" borderId="0" xfId="0" applyFont="1" applyFill="1"/>
    <xf numFmtId="0" fontId="19" fillId="0" borderId="7" xfId="1" applyFont="1" applyFill="1" applyBorder="1" applyAlignment="1">
      <alignment horizontal="left" vertical="center"/>
    </xf>
    <xf numFmtId="0" fontId="20" fillId="0" borderId="7" xfId="1" applyFont="1" applyFill="1" applyBorder="1" applyAlignment="1">
      <alignment horizontal="center" vertical="center" wrapText="1"/>
    </xf>
    <xf numFmtId="165" fontId="21" fillId="0" borderId="9" xfId="4" applyNumberFormat="1" applyFont="1" applyFill="1" applyBorder="1" applyAlignment="1">
      <alignment horizontal="center" vertical="center" wrapText="1"/>
    </xf>
    <xf numFmtId="0" fontId="20" fillId="0" borderId="11" xfId="1" applyFont="1" applyFill="1" applyBorder="1" applyAlignment="1">
      <alignment horizontal="center" vertical="center"/>
    </xf>
    <xf numFmtId="0" fontId="20" fillId="0" borderId="12" xfId="1" applyFont="1" applyFill="1" applyBorder="1" applyAlignment="1">
      <alignment horizontal="center" vertical="center"/>
    </xf>
    <xf numFmtId="3" fontId="20" fillId="0" borderId="8" xfId="1" applyNumberFormat="1" applyFont="1" applyFill="1" applyBorder="1" applyAlignment="1">
      <alignment horizontal="center" vertical="center"/>
    </xf>
    <xf numFmtId="2" fontId="20" fillId="0" borderId="13" xfId="1" applyNumberFormat="1" applyFont="1" applyFill="1" applyBorder="1" applyAlignment="1">
      <alignment horizontal="center" vertical="center"/>
    </xf>
    <xf numFmtId="2" fontId="20" fillId="0" borderId="14" xfId="1" applyNumberFormat="1" applyFont="1" applyFill="1" applyBorder="1" applyAlignment="1">
      <alignment horizontal="center" vertical="center"/>
    </xf>
    <xf numFmtId="2" fontId="20" fillId="0" borderId="13" xfId="1" applyNumberFormat="1" applyFont="1" applyFill="1" applyBorder="1" applyAlignment="1">
      <alignment horizontal="center"/>
    </xf>
    <xf numFmtId="0" fontId="20" fillId="0" borderId="0" xfId="1" applyFont="1" applyFill="1" applyBorder="1" applyAlignment="1">
      <alignment vertical="center"/>
    </xf>
    <xf numFmtId="165" fontId="11" fillId="0" borderId="0" xfId="1" applyNumberFormat="1" applyFont="1" applyFill="1" applyAlignment="1">
      <alignment horizontal="right"/>
    </xf>
    <xf numFmtId="0" fontId="2" fillId="0" borderId="7" xfId="1" applyFont="1" applyFill="1" applyBorder="1" applyAlignment="1">
      <alignment horizontal="center"/>
    </xf>
    <xf numFmtId="166" fontId="9" fillId="3" borderId="8" xfId="4" applyNumberFormat="1" applyFont="1" applyFill="1" applyBorder="1" applyAlignment="1">
      <alignment horizontal="center" vertical="center" wrapText="1"/>
    </xf>
    <xf numFmtId="166" fontId="9" fillId="3" borderId="9" xfId="4" applyNumberFormat="1" applyFont="1" applyFill="1" applyBorder="1" applyAlignment="1">
      <alignment horizontal="center" vertical="center" wrapText="1"/>
    </xf>
    <xf numFmtId="166" fontId="9" fillId="3" borderId="10" xfId="4" applyNumberFormat="1" applyFont="1" applyFill="1" applyBorder="1" applyAlignment="1">
      <alignment horizontal="center" vertical="center" wrapText="1"/>
    </xf>
    <xf numFmtId="165" fontId="10" fillId="0" borderId="7" xfId="4" applyNumberFormat="1" applyFont="1" applyFill="1" applyBorder="1" applyAlignment="1">
      <alignment horizontal="center" vertical="center" wrapText="1"/>
    </xf>
    <xf numFmtId="0" fontId="9" fillId="4" borderId="7" xfId="1" applyFont="1" applyFill="1" applyBorder="1" applyAlignment="1">
      <alignment vertical="center"/>
    </xf>
    <xf numFmtId="0" fontId="9" fillId="0" borderId="7" xfId="1" applyFont="1" applyFill="1" applyBorder="1"/>
    <xf numFmtId="0" fontId="9" fillId="0" borderId="7" xfId="1" applyFont="1" applyFill="1" applyBorder="1" applyAlignment="1">
      <alignment vertical="center"/>
    </xf>
    <xf numFmtId="0" fontId="9" fillId="0" borderId="7" xfId="1" applyFont="1" applyFill="1" applyBorder="1" applyAlignment="1">
      <alignment wrapText="1"/>
    </xf>
    <xf numFmtId="1" fontId="9" fillId="0" borderId="7" xfId="1" applyNumberFormat="1" applyFont="1" applyFill="1" applyBorder="1"/>
    <xf numFmtId="0" fontId="2" fillId="0" borderId="7" xfId="1" applyFill="1" applyBorder="1" applyAlignment="1"/>
    <xf numFmtId="165" fontId="10" fillId="0" borderId="7" xfId="4" applyNumberFormat="1" applyFont="1" applyFill="1" applyBorder="1" applyAlignment="1">
      <alignment horizontal="center" vertical="center" wrapText="1"/>
    </xf>
    <xf numFmtId="166" fontId="9" fillId="0" borderId="20" xfId="4" applyNumberFormat="1" applyFont="1" applyFill="1" applyBorder="1" applyAlignment="1">
      <alignment horizontal="center" vertical="center" wrapText="1"/>
    </xf>
    <xf numFmtId="166" fontId="9" fillId="0" borderId="18" xfId="4" applyNumberFormat="1" applyFont="1" applyFill="1" applyBorder="1" applyAlignment="1">
      <alignment horizontal="center" vertical="center" wrapText="1"/>
    </xf>
    <xf numFmtId="166" fontId="9" fillId="0" borderId="16" xfId="4" applyNumberFormat="1" applyFont="1" applyFill="1" applyBorder="1" applyAlignment="1">
      <alignment horizontal="center" vertical="center" wrapText="1"/>
    </xf>
    <xf numFmtId="0" fontId="0" fillId="5" borderId="7" xfId="0" applyFill="1" applyBorder="1"/>
    <xf numFmtId="43" fontId="0" fillId="5" borderId="7" xfId="3" applyFont="1" applyFill="1" applyBorder="1"/>
    <xf numFmtId="0" fontId="8" fillId="4" borderId="7" xfId="0" applyFont="1" applyFill="1" applyBorder="1" applyAlignment="1">
      <alignment horizontal="right"/>
    </xf>
    <xf numFmtId="43" fontId="8" fillId="4" borderId="7" xfId="3" applyFont="1" applyFill="1" applyBorder="1"/>
    <xf numFmtId="0" fontId="0" fillId="6" borderId="7" xfId="0" applyFill="1" applyBorder="1"/>
    <xf numFmtId="43" fontId="0" fillId="6" borderId="7" xfId="3" applyFont="1" applyFill="1" applyBorder="1"/>
    <xf numFmtId="0" fontId="0" fillId="7" borderId="7" xfId="0" applyFill="1" applyBorder="1"/>
    <xf numFmtId="43" fontId="0" fillId="7" borderId="7" xfId="3" applyFont="1" applyFill="1" applyBorder="1"/>
    <xf numFmtId="0" fontId="0" fillId="3" borderId="7" xfId="0" applyFill="1" applyBorder="1"/>
    <xf numFmtId="43" fontId="0" fillId="3" borderId="7" xfId="3" applyFont="1" applyFill="1" applyBorder="1"/>
    <xf numFmtId="43" fontId="8" fillId="0" borderId="0" xfId="0" applyNumberFormat="1" applyFont="1"/>
    <xf numFmtId="164" fontId="8" fillId="4" borderId="7" xfId="0" applyNumberFormat="1" applyFont="1" applyFill="1" applyBorder="1" applyAlignment="1">
      <alignment horizontal="right"/>
    </xf>
    <xf numFmtId="0" fontId="9" fillId="0" borderId="7" xfId="1" applyFont="1" applyFill="1" applyBorder="1" applyAlignment="1">
      <alignment horizontal="center" vertical="center"/>
    </xf>
    <xf numFmtId="0" fontId="10" fillId="0" borderId="7" xfId="4" applyNumberFormat="1" applyFont="1" applyFill="1" applyBorder="1" applyAlignment="1">
      <alignment horizontal="center" vertical="center" wrapText="1"/>
    </xf>
    <xf numFmtId="165" fontId="10" fillId="0" borderId="7" xfId="4" applyNumberFormat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horizontal="left" vertical="center" wrapText="1"/>
    </xf>
    <xf numFmtId="166" fontId="9" fillId="0" borderId="17" xfId="4" applyNumberFormat="1" applyFont="1" applyFill="1" applyBorder="1" applyAlignment="1">
      <alignment horizontal="center" vertical="center" wrapText="1"/>
    </xf>
    <xf numFmtId="165" fontId="10" fillId="4" borderId="8" xfId="4" applyNumberFormat="1" applyFont="1" applyFill="1" applyBorder="1" applyAlignment="1">
      <alignment horizontal="center" wrapText="1"/>
    </xf>
    <xf numFmtId="165" fontId="10" fillId="0" borderId="0" xfId="1" applyNumberFormat="1" applyFont="1" applyFill="1" applyAlignment="1">
      <alignment horizontal="center"/>
    </xf>
    <xf numFmtId="4" fontId="9" fillId="0" borderId="7" xfId="1" applyNumberFormat="1" applyFont="1" applyFill="1" applyBorder="1" applyAlignment="1">
      <alignment horizontal="center"/>
    </xf>
    <xf numFmtId="2" fontId="9" fillId="0" borderId="7" xfId="1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4" borderId="8" xfId="1" applyFont="1" applyFill="1" applyBorder="1" applyAlignment="1">
      <alignment horizontal="center" vertical="center"/>
    </xf>
    <xf numFmtId="0" fontId="9" fillId="4" borderId="10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left" vertical="center" wrapText="1"/>
    </xf>
    <xf numFmtId="0" fontId="9" fillId="4" borderId="10" xfId="1" applyFont="1" applyFill="1" applyBorder="1" applyAlignment="1">
      <alignment horizontal="left" vertical="center" wrapText="1"/>
    </xf>
    <xf numFmtId="165" fontId="10" fillId="4" borderId="8" xfId="4" applyNumberFormat="1" applyFont="1" applyFill="1" applyBorder="1" applyAlignment="1">
      <alignment horizontal="center" vertical="center" wrapText="1"/>
    </xf>
    <xf numFmtId="165" fontId="10" fillId="4" borderId="10" xfId="4" applyNumberFormat="1" applyFont="1" applyFill="1" applyBorder="1" applyAlignment="1">
      <alignment horizontal="center" vertical="center" wrapText="1"/>
    </xf>
    <xf numFmtId="166" fontId="9" fillId="4" borderId="13" xfId="4" applyNumberFormat="1" applyFont="1" applyFill="1" applyBorder="1" applyAlignment="1">
      <alignment horizontal="center" vertical="center" wrapText="1"/>
    </xf>
    <xf numFmtId="166" fontId="9" fillId="4" borderId="14" xfId="4" applyNumberFormat="1" applyFont="1" applyFill="1" applyBorder="1" applyAlignment="1">
      <alignment horizontal="center" vertical="center" wrapText="1"/>
    </xf>
    <xf numFmtId="166" fontId="9" fillId="4" borderId="20" xfId="4" applyNumberFormat="1" applyFont="1" applyFill="1" applyBorder="1" applyAlignment="1">
      <alignment horizontal="center" vertical="center" wrapText="1"/>
    </xf>
    <xf numFmtId="166" fontId="9" fillId="4" borderId="21" xfId="4" applyNumberFormat="1" applyFont="1" applyFill="1" applyBorder="1" applyAlignment="1">
      <alignment horizontal="center" vertical="center" wrapText="1"/>
    </xf>
    <xf numFmtId="166" fontId="9" fillId="4" borderId="18" xfId="4" applyNumberFormat="1" applyFont="1" applyFill="1" applyBorder="1" applyAlignment="1">
      <alignment horizontal="center" vertical="center" wrapText="1"/>
    </xf>
    <xf numFmtId="166" fontId="9" fillId="4" borderId="16" xfId="4" applyNumberFormat="1" applyFont="1" applyFill="1" applyBorder="1" applyAlignment="1">
      <alignment horizontal="center" vertical="center" wrapText="1"/>
    </xf>
    <xf numFmtId="166" fontId="9" fillId="3" borderId="11" xfId="4" applyNumberFormat="1" applyFont="1" applyFill="1" applyBorder="1" applyAlignment="1">
      <alignment horizontal="center" vertical="center" wrapText="1"/>
    </xf>
    <xf numFmtId="166" fontId="9" fillId="3" borderId="22" xfId="4" applyNumberFormat="1" applyFont="1" applyFill="1" applyBorder="1" applyAlignment="1">
      <alignment horizontal="center" vertical="center" wrapText="1"/>
    </xf>
    <xf numFmtId="166" fontId="9" fillId="3" borderId="12" xfId="4" applyNumberFormat="1" applyFont="1" applyFill="1" applyBorder="1" applyAlignment="1">
      <alignment horizontal="center" vertical="center" wrapText="1"/>
    </xf>
    <xf numFmtId="165" fontId="13" fillId="4" borderId="13" xfId="4" applyNumberFormat="1" applyFont="1" applyFill="1" applyBorder="1" applyAlignment="1">
      <alignment horizontal="center" vertical="center" wrapText="1"/>
    </xf>
    <xf numFmtId="165" fontId="13" fillId="4" borderId="19" xfId="4" applyNumberFormat="1" applyFont="1" applyFill="1" applyBorder="1" applyAlignment="1">
      <alignment horizontal="center" vertical="center" wrapText="1"/>
    </xf>
    <xf numFmtId="165" fontId="13" fillId="4" borderId="14" xfId="4" applyNumberFormat="1" applyFont="1" applyFill="1" applyBorder="1" applyAlignment="1">
      <alignment horizontal="center" vertical="center" wrapText="1"/>
    </xf>
    <xf numFmtId="165" fontId="13" fillId="4" borderId="18" xfId="4" applyNumberFormat="1" applyFont="1" applyFill="1" applyBorder="1" applyAlignment="1">
      <alignment horizontal="center" vertical="center" wrapText="1"/>
    </xf>
    <xf numFmtId="165" fontId="13" fillId="4" borderId="17" xfId="4" applyNumberFormat="1" applyFont="1" applyFill="1" applyBorder="1" applyAlignment="1">
      <alignment horizontal="center" vertical="center" wrapText="1"/>
    </xf>
    <xf numFmtId="165" fontId="13" fillId="4" borderId="16" xfId="4" applyNumberFormat="1" applyFont="1" applyFill="1" applyBorder="1" applyAlignment="1">
      <alignment horizontal="center" vertical="center" wrapText="1"/>
    </xf>
    <xf numFmtId="0" fontId="9" fillId="4" borderId="8" xfId="1" applyFont="1" applyFill="1" applyBorder="1" applyAlignment="1">
      <alignment horizontal="center" vertical="center" wrapText="1"/>
    </xf>
    <xf numFmtId="0" fontId="9" fillId="4" borderId="10" xfId="1" applyFont="1" applyFill="1" applyBorder="1" applyAlignment="1">
      <alignment horizontal="center" vertical="center" wrapText="1"/>
    </xf>
    <xf numFmtId="2" fontId="9" fillId="4" borderId="11" xfId="1" applyNumberFormat="1" applyFont="1" applyFill="1" applyBorder="1" applyAlignment="1">
      <alignment horizontal="center"/>
    </xf>
    <xf numFmtId="2" fontId="9" fillId="4" borderId="12" xfId="1" applyNumberFormat="1" applyFont="1" applyFill="1" applyBorder="1" applyAlignment="1">
      <alignment horizontal="center"/>
    </xf>
    <xf numFmtId="2" fontId="9" fillId="4" borderId="11" xfId="1" applyNumberFormat="1" applyFont="1" applyFill="1" applyBorder="1" applyAlignment="1">
      <alignment horizontal="center" vertical="center"/>
    </xf>
    <xf numFmtId="2" fontId="9" fillId="4" borderId="12" xfId="1" applyNumberFormat="1" applyFont="1" applyFill="1" applyBorder="1" applyAlignment="1">
      <alignment horizontal="center" vertical="center"/>
    </xf>
    <xf numFmtId="0" fontId="9" fillId="4" borderId="11" xfId="1" applyFont="1" applyFill="1" applyBorder="1" applyAlignment="1">
      <alignment horizontal="center"/>
    </xf>
    <xf numFmtId="0" fontId="9" fillId="4" borderId="12" xfId="1" applyFont="1" applyFill="1" applyBorder="1" applyAlignment="1">
      <alignment horizontal="center"/>
    </xf>
    <xf numFmtId="0" fontId="9" fillId="4" borderId="11" xfId="1" applyFont="1" applyFill="1" applyBorder="1" applyAlignment="1">
      <alignment horizontal="center" vertical="center"/>
    </xf>
    <xf numFmtId="0" fontId="9" fillId="4" borderId="12" xfId="1" applyFont="1" applyFill="1" applyBorder="1" applyAlignment="1">
      <alignment horizontal="center" vertical="center"/>
    </xf>
    <xf numFmtId="0" fontId="14" fillId="4" borderId="17" xfId="1" quotePrefix="1" applyFont="1" applyFill="1" applyBorder="1" applyAlignment="1"/>
    <xf numFmtId="0" fontId="14" fillId="4" borderId="17" xfId="1" applyFont="1" applyFill="1" applyBorder="1" applyAlignment="1"/>
    <xf numFmtId="0" fontId="9" fillId="3" borderId="8" xfId="1" applyFont="1" applyFill="1" applyBorder="1" applyAlignment="1">
      <alignment horizontal="center" vertical="center" wrapText="1"/>
    </xf>
    <xf numFmtId="0" fontId="9" fillId="3" borderId="10" xfId="1" applyFont="1" applyFill="1" applyBorder="1" applyAlignment="1">
      <alignment horizontal="center" vertical="center" wrapText="1"/>
    </xf>
    <xf numFmtId="166" fontId="9" fillId="3" borderId="8" xfId="4" applyNumberFormat="1" applyFont="1" applyFill="1" applyBorder="1" applyAlignment="1">
      <alignment horizontal="center" vertical="center" wrapText="1"/>
    </xf>
    <xf numFmtId="166" fontId="9" fillId="3" borderId="9" xfId="4" applyNumberFormat="1" applyFont="1" applyFill="1" applyBorder="1" applyAlignment="1">
      <alignment horizontal="center" vertical="center" wrapText="1"/>
    </xf>
    <xf numFmtId="166" fontId="9" fillId="3" borderId="10" xfId="4" applyNumberFormat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/>
    </xf>
    <xf numFmtId="0" fontId="2" fillId="2" borderId="8" xfId="1" applyFill="1" applyBorder="1" applyAlignment="1">
      <alignment horizontal="left" vertical="center" wrapText="1"/>
    </xf>
    <xf numFmtId="0" fontId="2" fillId="2" borderId="9" xfId="1" applyFill="1" applyBorder="1" applyAlignment="1">
      <alignment horizontal="left" vertical="center" wrapText="1"/>
    </xf>
    <xf numFmtId="0" fontId="2" fillId="2" borderId="10" xfId="1" applyFill="1" applyBorder="1" applyAlignment="1">
      <alignment horizontal="left" vertical="center" wrapText="1"/>
    </xf>
    <xf numFmtId="0" fontId="6" fillId="3" borderId="7" xfId="1" applyFont="1" applyFill="1" applyBorder="1" applyAlignment="1">
      <alignment horizontal="center" vertical="center" wrapText="1"/>
    </xf>
    <xf numFmtId="166" fontId="9" fillId="3" borderId="13" xfId="4" applyNumberFormat="1" applyFont="1" applyFill="1" applyBorder="1" applyAlignment="1">
      <alignment horizontal="center" vertical="center" wrapText="1"/>
    </xf>
    <xf numFmtId="166" fontId="9" fillId="3" borderId="20" xfId="4" applyNumberFormat="1" applyFont="1" applyFill="1" applyBorder="1" applyAlignment="1">
      <alignment horizontal="center" vertical="center" wrapText="1"/>
    </xf>
    <xf numFmtId="166" fontId="9" fillId="3" borderId="18" xfId="4" applyNumberFormat="1" applyFont="1" applyFill="1" applyBorder="1" applyAlignment="1">
      <alignment horizontal="center" vertical="center" wrapText="1"/>
    </xf>
    <xf numFmtId="165" fontId="10" fillId="0" borderId="7" xfId="4" applyNumberFormat="1" applyFont="1" applyFill="1" applyBorder="1" applyAlignment="1">
      <alignment horizontal="center" vertical="center" wrapText="1"/>
    </xf>
    <xf numFmtId="0" fontId="10" fillId="0" borderId="7" xfId="4" applyNumberFormat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vertical="center" wrapText="1"/>
    </xf>
    <xf numFmtId="0" fontId="9" fillId="0" borderId="7" xfId="1" applyFont="1" applyFill="1" applyBorder="1" applyAlignment="1">
      <alignment horizontal="center" vertical="center"/>
    </xf>
    <xf numFmtId="166" fontId="9" fillId="3" borderId="7" xfId="4" applyNumberFormat="1" applyFont="1" applyFill="1" applyBorder="1" applyAlignment="1">
      <alignment horizontal="center" vertical="center" wrapText="1"/>
    </xf>
    <xf numFmtId="0" fontId="10" fillId="0" borderId="17" xfId="1" quotePrefix="1" applyFont="1" applyFill="1" applyBorder="1" applyAlignment="1">
      <alignment horizontal="center"/>
    </xf>
    <xf numFmtId="0" fontId="10" fillId="0" borderId="17" xfId="1" applyFont="1" applyFill="1" applyBorder="1" applyAlignment="1">
      <alignment horizontal="center"/>
    </xf>
    <xf numFmtId="0" fontId="9" fillId="3" borderId="7" xfId="1" applyFont="1" applyFill="1" applyBorder="1" applyAlignment="1">
      <alignment horizontal="center" vertical="center" wrapText="1"/>
    </xf>
    <xf numFmtId="168" fontId="10" fillId="3" borderId="7" xfId="4" quotePrefix="1" applyNumberFormat="1" applyFont="1" applyFill="1" applyBorder="1" applyAlignment="1">
      <alignment horizontal="center" vertical="center" wrapText="1"/>
    </xf>
    <xf numFmtId="168" fontId="10" fillId="3" borderId="7" xfId="4" applyNumberFormat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horizontal="left" vertical="center" wrapText="1"/>
    </xf>
    <xf numFmtId="0" fontId="9" fillId="0" borderId="8" xfId="1" applyFont="1" applyFill="1" applyBorder="1" applyAlignment="1">
      <alignment horizontal="left" vertical="center" wrapText="1"/>
    </xf>
    <xf numFmtId="0" fontId="9" fillId="0" borderId="9" xfId="1" applyFont="1" applyFill="1" applyBorder="1" applyAlignment="1">
      <alignment horizontal="left" vertical="center" wrapText="1"/>
    </xf>
    <xf numFmtId="0" fontId="9" fillId="0" borderId="10" xfId="1" applyFont="1" applyFill="1" applyBorder="1" applyAlignment="1">
      <alignment horizontal="left" vertical="center" wrapText="1"/>
    </xf>
    <xf numFmtId="0" fontId="9" fillId="0" borderId="8" xfId="1" applyFont="1" applyFill="1" applyBorder="1" applyAlignment="1">
      <alignment horizontal="center" vertical="center"/>
    </xf>
    <xf numFmtId="0" fontId="9" fillId="0" borderId="9" xfId="1" applyFont="1" applyFill="1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165" fontId="10" fillId="0" borderId="8" xfId="4" applyNumberFormat="1" applyFont="1" applyFill="1" applyBorder="1" applyAlignment="1">
      <alignment horizontal="center" vertical="center" wrapText="1"/>
    </xf>
    <xf numFmtId="165" fontId="10" fillId="0" borderId="9" xfId="4" applyNumberFormat="1" applyFont="1" applyFill="1" applyBorder="1" applyAlignment="1">
      <alignment horizontal="center" vertical="center" wrapText="1"/>
    </xf>
    <xf numFmtId="165" fontId="10" fillId="0" borderId="10" xfId="4" applyNumberFormat="1" applyFont="1" applyFill="1" applyBorder="1" applyAlignment="1">
      <alignment horizontal="center" vertical="center" wrapText="1"/>
    </xf>
    <xf numFmtId="166" fontId="9" fillId="0" borderId="13" xfId="4" applyNumberFormat="1" applyFont="1" applyFill="1" applyBorder="1" applyAlignment="1">
      <alignment horizontal="center" vertical="center" wrapText="1"/>
    </xf>
    <xf numFmtId="166" fontId="9" fillId="0" borderId="14" xfId="4" applyNumberFormat="1" applyFont="1" applyFill="1" applyBorder="1" applyAlignment="1">
      <alignment horizontal="center" vertical="center" wrapText="1"/>
    </xf>
    <xf numFmtId="166" fontId="9" fillId="0" borderId="20" xfId="4" applyNumberFormat="1" applyFont="1" applyFill="1" applyBorder="1" applyAlignment="1">
      <alignment horizontal="center" vertical="center" wrapText="1"/>
    </xf>
    <xf numFmtId="166" fontId="9" fillId="0" borderId="21" xfId="4" applyNumberFormat="1" applyFont="1" applyFill="1" applyBorder="1" applyAlignment="1">
      <alignment horizontal="center" vertical="center" wrapText="1"/>
    </xf>
    <xf numFmtId="166" fontId="9" fillId="0" borderId="18" xfId="4" applyNumberFormat="1" applyFont="1" applyFill="1" applyBorder="1" applyAlignment="1">
      <alignment horizontal="center" vertical="center" wrapText="1"/>
    </xf>
    <xf numFmtId="166" fontId="9" fillId="0" borderId="16" xfId="4" applyNumberFormat="1" applyFont="1" applyFill="1" applyBorder="1" applyAlignment="1">
      <alignment horizontal="center" vertical="center" wrapText="1"/>
    </xf>
    <xf numFmtId="2" fontId="9" fillId="0" borderId="11" xfId="1" applyNumberFormat="1" applyFont="1" applyFill="1" applyBorder="1" applyAlignment="1">
      <alignment horizontal="center"/>
    </xf>
    <xf numFmtId="2" fontId="9" fillId="0" borderId="12" xfId="1" applyNumberFormat="1" applyFont="1" applyFill="1" applyBorder="1" applyAlignment="1">
      <alignment horizontal="center"/>
    </xf>
    <xf numFmtId="0" fontId="9" fillId="0" borderId="11" xfId="1" applyFont="1" applyFill="1" applyBorder="1" applyAlignment="1">
      <alignment horizontal="center" vertical="center"/>
    </xf>
    <xf numFmtId="0" fontId="9" fillId="0" borderId="12" xfId="1" applyFont="1" applyFill="1" applyBorder="1" applyAlignment="1">
      <alignment horizontal="center" vertical="center"/>
    </xf>
    <xf numFmtId="2" fontId="9" fillId="0" borderId="11" xfId="1" applyNumberFormat="1" applyFont="1" applyFill="1" applyBorder="1" applyAlignment="1">
      <alignment horizontal="center" vertical="center"/>
    </xf>
    <xf numFmtId="2" fontId="9" fillId="0" borderId="12" xfId="1" applyNumberFormat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center"/>
    </xf>
    <xf numFmtId="0" fontId="9" fillId="0" borderId="12" xfId="1" applyFont="1" applyFill="1" applyBorder="1" applyAlignment="1">
      <alignment horizontal="center"/>
    </xf>
    <xf numFmtId="0" fontId="14" fillId="0" borderId="17" xfId="1" quotePrefix="1" applyFont="1" applyFill="1" applyBorder="1" applyAlignment="1"/>
    <xf numFmtId="0" fontId="14" fillId="0" borderId="17" xfId="1" applyFont="1" applyFill="1" applyBorder="1" applyAlignment="1"/>
    <xf numFmtId="4" fontId="9" fillId="0" borderId="13" xfId="1" applyNumberFormat="1" applyFont="1" applyFill="1" applyBorder="1" applyAlignment="1">
      <alignment horizontal="center" vertical="center"/>
    </xf>
    <xf numFmtId="4" fontId="9" fillId="0" borderId="14" xfId="1" applyNumberFormat="1" applyFont="1" applyFill="1" applyBorder="1" applyAlignment="1">
      <alignment horizontal="center" vertical="center"/>
    </xf>
    <xf numFmtId="0" fontId="9" fillId="0" borderId="7" xfId="1" quotePrefix="1" applyFont="1" applyFill="1" applyBorder="1" applyAlignment="1">
      <alignment vertical="center" wrapText="1"/>
    </xf>
    <xf numFmtId="0" fontId="9" fillId="0" borderId="8" xfId="1" quotePrefix="1" applyFont="1" applyFill="1" applyBorder="1" applyAlignment="1">
      <alignment vertical="center" wrapText="1"/>
    </xf>
    <xf numFmtId="0" fontId="9" fillId="0" borderId="10" xfId="1" quotePrefix="1" applyFont="1" applyFill="1" applyBorder="1" applyAlignment="1">
      <alignment vertical="center" wrapText="1"/>
    </xf>
    <xf numFmtId="0" fontId="9" fillId="0" borderId="8" xfId="1" quotePrefix="1" applyFont="1" applyFill="1" applyBorder="1" applyAlignment="1">
      <alignment horizontal="left" vertical="center" wrapText="1"/>
    </xf>
    <xf numFmtId="0" fontId="9" fillId="0" borderId="9" xfId="1" quotePrefix="1" applyFont="1" applyFill="1" applyBorder="1" applyAlignment="1">
      <alignment horizontal="left" vertical="center" wrapText="1"/>
    </xf>
    <xf numFmtId="0" fontId="9" fillId="0" borderId="10" xfId="1" quotePrefix="1" applyFont="1" applyFill="1" applyBorder="1" applyAlignment="1">
      <alignment horizontal="left" vertical="center" wrapText="1"/>
    </xf>
    <xf numFmtId="0" fontId="2" fillId="0" borderId="4" xfId="1" applyFill="1" applyBorder="1" applyAlignment="1">
      <alignment horizontal="center" vertical="center"/>
    </xf>
    <xf numFmtId="0" fontId="2" fillId="0" borderId="5" xfId="1" applyFill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2" fillId="0" borderId="4" xfId="1" applyFill="1" applyBorder="1" applyAlignment="1">
      <alignment horizontal="left" vertical="center"/>
    </xf>
    <xf numFmtId="0" fontId="2" fillId="0" borderId="5" xfId="1" applyFill="1" applyBorder="1" applyAlignment="1">
      <alignment horizontal="left" vertical="center"/>
    </xf>
    <xf numFmtId="0" fontId="2" fillId="0" borderId="1" xfId="1" applyFill="1" applyBorder="1" applyAlignment="1">
      <alignment horizontal="left" vertical="center"/>
    </xf>
    <xf numFmtId="14" fontId="2" fillId="0" borderId="7" xfId="1" applyNumberFormat="1" applyFill="1" applyBorder="1" applyAlignment="1">
      <alignment horizontal="center" vertical="center"/>
    </xf>
    <xf numFmtId="0" fontId="2" fillId="0" borderId="0" xfId="1" applyFill="1" applyBorder="1" applyAlignment="1">
      <alignment horizontal="center" vertical="center"/>
    </xf>
    <xf numFmtId="0" fontId="15" fillId="0" borderId="24" xfId="1" applyFont="1" applyFill="1" applyBorder="1" applyAlignment="1">
      <alignment vertical="top" wrapText="1"/>
    </xf>
    <xf numFmtId="0" fontId="2" fillId="0" borderId="7" xfId="1" applyFill="1" applyBorder="1" applyAlignment="1">
      <alignment horizontal="left" vertical="center"/>
    </xf>
    <xf numFmtId="0" fontId="2" fillId="0" borderId="7" xfId="1" applyFill="1" applyBorder="1" applyAlignment="1">
      <alignment horizontal="center" vertical="center"/>
    </xf>
    <xf numFmtId="14" fontId="2" fillId="0" borderId="7" xfId="1" applyNumberFormat="1" applyFill="1" applyBorder="1" applyAlignment="1">
      <alignment horizontal="left" vertical="center"/>
    </xf>
    <xf numFmtId="165" fontId="13" fillId="0" borderId="13" xfId="4" applyNumberFormat="1" applyFont="1" applyFill="1" applyBorder="1" applyAlignment="1">
      <alignment horizontal="center" vertical="center" wrapText="1"/>
    </xf>
    <xf numFmtId="165" fontId="13" fillId="0" borderId="19" xfId="4" applyNumberFormat="1" applyFont="1" applyFill="1" applyBorder="1" applyAlignment="1">
      <alignment horizontal="center" vertical="center" wrapText="1"/>
    </xf>
    <xf numFmtId="165" fontId="13" fillId="0" borderId="14" xfId="4" applyNumberFormat="1" applyFont="1" applyFill="1" applyBorder="1" applyAlignment="1">
      <alignment horizontal="center" vertical="center" wrapText="1"/>
    </xf>
    <xf numFmtId="165" fontId="13" fillId="0" borderId="18" xfId="4" applyNumberFormat="1" applyFont="1" applyFill="1" applyBorder="1" applyAlignment="1">
      <alignment horizontal="center" vertical="center" wrapText="1"/>
    </xf>
    <xf numFmtId="165" fontId="13" fillId="0" borderId="17" xfId="4" applyNumberFormat="1" applyFont="1" applyFill="1" applyBorder="1" applyAlignment="1">
      <alignment horizontal="center" vertical="center" wrapText="1"/>
    </xf>
    <xf numFmtId="165" fontId="13" fillId="0" borderId="16" xfId="4" applyNumberFormat="1" applyFont="1" applyFill="1" applyBorder="1" applyAlignment="1">
      <alignment horizontal="center" vertical="center" wrapText="1"/>
    </xf>
    <xf numFmtId="166" fontId="9" fillId="3" borderId="14" xfId="4" applyNumberFormat="1" applyFont="1" applyFill="1" applyBorder="1" applyAlignment="1">
      <alignment horizontal="center" vertical="center" wrapText="1"/>
    </xf>
    <xf numFmtId="166" fontId="9" fillId="3" borderId="16" xfId="4" applyNumberFormat="1" applyFont="1" applyFill="1" applyBorder="1" applyAlignment="1">
      <alignment horizontal="center" vertical="center" wrapText="1"/>
    </xf>
    <xf numFmtId="0" fontId="9" fillId="0" borderId="8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165" fontId="10" fillId="0" borderId="13" xfId="4" applyNumberFormat="1" applyFont="1" applyFill="1" applyBorder="1" applyAlignment="1">
      <alignment horizontal="center" vertical="center" wrapText="1"/>
    </xf>
    <xf numFmtId="165" fontId="10" fillId="0" borderId="19" xfId="4" applyNumberFormat="1" applyFont="1" applyFill="1" applyBorder="1" applyAlignment="1">
      <alignment horizontal="center" vertical="center" wrapText="1"/>
    </xf>
    <xf numFmtId="165" fontId="10" fillId="0" borderId="14" xfId="4" applyNumberFormat="1" applyFont="1" applyFill="1" applyBorder="1" applyAlignment="1">
      <alignment horizontal="center" vertical="center" wrapText="1"/>
    </xf>
    <xf numFmtId="165" fontId="10" fillId="0" borderId="18" xfId="4" applyNumberFormat="1" applyFont="1" applyFill="1" applyBorder="1" applyAlignment="1">
      <alignment horizontal="center" vertical="center" wrapText="1"/>
    </xf>
    <xf numFmtId="165" fontId="10" fillId="0" borderId="17" xfId="4" applyNumberFormat="1" applyFont="1" applyFill="1" applyBorder="1" applyAlignment="1">
      <alignment horizontal="center" vertical="center" wrapText="1"/>
    </xf>
    <xf numFmtId="165" fontId="10" fillId="0" borderId="16" xfId="4" applyNumberFormat="1" applyFont="1" applyFill="1" applyBorder="1" applyAlignment="1">
      <alignment horizontal="center" vertical="center" wrapText="1"/>
    </xf>
    <xf numFmtId="0" fontId="9" fillId="0" borderId="7" xfId="1" quotePrefix="1" applyFont="1" applyFill="1" applyBorder="1" applyAlignment="1">
      <alignment horizontal="left" vertical="center" wrapText="1"/>
    </xf>
    <xf numFmtId="166" fontId="10" fillId="3" borderId="7" xfId="4" applyNumberFormat="1" applyFont="1" applyFill="1" applyBorder="1" applyAlignment="1">
      <alignment horizontal="center" vertical="center" wrapText="1"/>
    </xf>
    <xf numFmtId="0" fontId="14" fillId="0" borderId="17" xfId="1" quotePrefix="1" applyFont="1" applyFill="1" applyBorder="1" applyAlignment="1">
      <alignment horizontal="center"/>
    </xf>
    <xf numFmtId="0" fontId="0" fillId="0" borderId="17" xfId="0" applyFill="1" applyBorder="1"/>
    <xf numFmtId="0" fontId="10" fillId="3" borderId="7" xfId="1" applyFont="1" applyFill="1" applyBorder="1" applyAlignment="1">
      <alignment horizontal="center" vertical="center" wrapText="1"/>
    </xf>
    <xf numFmtId="4" fontId="9" fillId="0" borderId="11" xfId="1" applyNumberFormat="1" applyFont="1" applyFill="1" applyBorder="1" applyAlignment="1">
      <alignment horizontal="center"/>
    </xf>
    <xf numFmtId="4" fontId="9" fillId="0" borderId="12" xfId="1" applyNumberFormat="1" applyFont="1" applyFill="1" applyBorder="1" applyAlignment="1">
      <alignment horizontal="center"/>
    </xf>
    <xf numFmtId="0" fontId="9" fillId="0" borderId="9" xfId="1" quotePrefix="1" applyFont="1" applyFill="1" applyBorder="1" applyAlignment="1">
      <alignment vertical="center" wrapText="1"/>
    </xf>
    <xf numFmtId="0" fontId="9" fillId="0" borderId="8" xfId="1" quotePrefix="1" applyFont="1" applyFill="1" applyBorder="1" applyAlignment="1">
      <alignment horizontal="center" vertical="center" wrapText="1"/>
    </xf>
    <xf numFmtId="0" fontId="9" fillId="0" borderId="9" xfId="1" quotePrefix="1" applyFont="1" applyFill="1" applyBorder="1" applyAlignment="1">
      <alignment horizontal="center" vertical="center" wrapText="1"/>
    </xf>
  </cellXfs>
  <cellStyles count="5">
    <cellStyle name="Comma" xfId="3" builtinId="3"/>
    <cellStyle name="Millares 2" xfId="4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784860" y="670560"/>
          <a:ext cx="3924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s-PY" sz="800" b="1" i="1" strike="noStrike">
              <a:solidFill>
                <a:srgbClr val="000000"/>
              </a:solidFill>
              <a:latin typeface="Arial"/>
              <a:cs typeface="Arial"/>
            </a:rPr>
            <a:t>Supervisor Convenio Canindeyú Este</a:t>
          </a:r>
        </a:p>
      </xdr:txBody>
    </xdr:sp>
    <xdr:clientData/>
  </xdr:twoCellAnchor>
  <xdr:twoCellAnchor>
    <xdr:from>
      <xdr:col>6</xdr:col>
      <xdr:colOff>0</xdr:colOff>
      <xdr:row>4</xdr:row>
      <xdr:rowOff>0</xdr:rowOff>
    </xdr:from>
    <xdr:to>
      <xdr:col>7</xdr:col>
      <xdr:colOff>398160</xdr:colOff>
      <xdr:row>4</xdr:row>
      <xdr:rowOff>0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>
          <a:off x="4709160" y="670560"/>
          <a:ext cx="11830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es-PY" sz="800" b="1" i="1" strike="noStrike">
              <a:solidFill>
                <a:srgbClr val="000000"/>
              </a:solidFill>
              <a:latin typeface="Arial"/>
              <a:cs typeface="Arial"/>
            </a:rPr>
            <a:t>Superintendente Entidad Ejecutora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C4:F18"/>
  <sheetViews>
    <sheetView view="pageBreakPreview" zoomScaleSheetLayoutView="100" workbookViewId="0">
      <selection activeCell="F27" sqref="F27"/>
    </sheetView>
  </sheetViews>
  <sheetFormatPr defaultColWidth="11.42578125" defaultRowHeight="15" x14ac:dyDescent="0.25"/>
  <cols>
    <col min="4" max="4" width="3.42578125" bestFit="1" customWidth="1"/>
    <col min="5" max="5" width="15.140625" customWidth="1"/>
    <col min="6" max="6" width="11.7109375" bestFit="1" customWidth="1"/>
  </cols>
  <sheetData>
    <row r="4" spans="3:6" x14ac:dyDescent="0.25">
      <c r="D4" s="37"/>
    </row>
    <row r="5" spans="3:6" s="13" customFormat="1" x14ac:dyDescent="0.25">
      <c r="C5" s="38"/>
      <c r="D5" s="14"/>
      <c r="E5" s="14" t="s">
        <v>97</v>
      </c>
      <c r="F5" s="14" t="s">
        <v>38</v>
      </c>
    </row>
    <row r="6" spans="3:6" x14ac:dyDescent="0.25">
      <c r="D6" s="10">
        <v>1</v>
      </c>
      <c r="E6" s="10" t="s">
        <v>26</v>
      </c>
      <c r="F6" s="15">
        <f>'01 Concepción'!G17</f>
        <v>102</v>
      </c>
    </row>
    <row r="7" spans="3:6" x14ac:dyDescent="0.25">
      <c r="D7" s="10">
        <v>2</v>
      </c>
      <c r="E7" s="10" t="s">
        <v>27</v>
      </c>
      <c r="F7" s="15">
        <f>'02 San Pedro'!E17</f>
        <v>200</v>
      </c>
    </row>
    <row r="8" spans="3:6" x14ac:dyDescent="0.25">
      <c r="D8" s="10">
        <v>3</v>
      </c>
      <c r="E8" s="10" t="s">
        <v>28</v>
      </c>
      <c r="F8" s="15">
        <f>'03 Cordillera'!E15</f>
        <v>84</v>
      </c>
    </row>
    <row r="9" spans="3:6" x14ac:dyDescent="0.25">
      <c r="D9" s="10">
        <v>4</v>
      </c>
      <c r="E9" s="10" t="s">
        <v>29</v>
      </c>
      <c r="F9" s="15">
        <f>'04 Guairá'!G29</f>
        <v>206</v>
      </c>
    </row>
    <row r="10" spans="3:6" x14ac:dyDescent="0.25">
      <c r="D10" s="10">
        <v>5</v>
      </c>
      <c r="E10" s="10" t="s">
        <v>30</v>
      </c>
      <c r="F10" s="15">
        <f>'05 Caaguazú'!H15</f>
        <v>151</v>
      </c>
    </row>
    <row r="11" spans="3:6" x14ac:dyDescent="0.25">
      <c r="D11" s="10">
        <v>6</v>
      </c>
      <c r="E11" s="10" t="s">
        <v>31</v>
      </c>
      <c r="F11" s="15">
        <f>'06 Caazapá'!D33</f>
        <v>157</v>
      </c>
    </row>
    <row r="12" spans="3:6" x14ac:dyDescent="0.25">
      <c r="D12" s="10">
        <v>7</v>
      </c>
      <c r="E12" s="10" t="s">
        <v>32</v>
      </c>
      <c r="F12" s="15">
        <f>'07 Itapúa'!G24</f>
        <v>154</v>
      </c>
    </row>
    <row r="13" spans="3:6" x14ac:dyDescent="0.25">
      <c r="D13" s="10">
        <v>8</v>
      </c>
      <c r="E13" s="10" t="s">
        <v>33</v>
      </c>
      <c r="F13" s="15">
        <f>'08 Misiones'!G14</f>
        <v>72</v>
      </c>
    </row>
    <row r="14" spans="3:6" x14ac:dyDescent="0.25">
      <c r="D14" s="10">
        <v>9</v>
      </c>
      <c r="E14" s="10" t="s">
        <v>34</v>
      </c>
      <c r="F14" s="15">
        <f>'09 Paraguarí'!G24</f>
        <v>132</v>
      </c>
    </row>
    <row r="15" spans="3:6" x14ac:dyDescent="0.25">
      <c r="D15" s="10">
        <v>10</v>
      </c>
      <c r="E15" s="10" t="s">
        <v>35</v>
      </c>
      <c r="F15" s="15">
        <f>'10 Alto Paraná'!G15</f>
        <v>105</v>
      </c>
    </row>
    <row r="16" spans="3:6" x14ac:dyDescent="0.25">
      <c r="D16" s="10">
        <v>12</v>
      </c>
      <c r="E16" s="10" t="s">
        <v>36</v>
      </c>
      <c r="F16" s="15">
        <f>'12 Ñeembucú'!E20</f>
        <v>86</v>
      </c>
    </row>
    <row r="17" spans="4:6" x14ac:dyDescent="0.25">
      <c r="D17" s="10">
        <v>14</v>
      </c>
      <c r="E17" s="10" t="s">
        <v>37</v>
      </c>
      <c r="F17" s="15">
        <f>'14 Canindeyú'!H31</f>
        <v>272</v>
      </c>
    </row>
    <row r="18" spans="4:6" x14ac:dyDescent="0.25">
      <c r="E18" s="11" t="s">
        <v>39</v>
      </c>
      <c r="F18" s="12">
        <f>SUM(F6:F17)</f>
        <v>1721</v>
      </c>
    </row>
  </sheetData>
  <printOptions horizontalCentered="1" verticalCentered="1"/>
  <pageMargins left="0.23622047244094491" right="0.23622047244094491" top="0.78740157480314965" bottom="0.78740157480314965" header="0.31496062992125984" footer="0.31496062992125984"/>
  <pageSetup paperSize="9" orientation="landscape" horizontalDpi="300" verticalDpi="300" r:id="rId1"/>
  <headerFooter>
    <oddHeader>&amp;L&amp;G&amp;C&amp;"Arial,Negrita"&amp;18&amp;A&amp;R&amp;G</oddHeader>
    <oddFooter>&amp;C&amp;"-,Negrita"&amp;10Ministerio de Obras Públicas y Comunicaciones&amp;"-,Normal"
Oliva y Alberdi Nº 411, C.P. Nº 1221, Asunción, Paraguay 
 Tel: 595 (021) 4149000&amp;R&amp;10Dirección de Caminos Vecinales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C4:F24"/>
  <sheetViews>
    <sheetView tabSelected="1" view="pageBreakPreview" zoomScaleSheetLayoutView="100" workbookViewId="0">
      <selection activeCell="F29" sqref="F29"/>
    </sheetView>
  </sheetViews>
  <sheetFormatPr defaultColWidth="11.42578125" defaultRowHeight="15" x14ac:dyDescent="0.25"/>
  <cols>
    <col min="4" max="4" width="3.42578125" bestFit="1" customWidth="1"/>
    <col min="5" max="5" width="14.42578125" customWidth="1"/>
    <col min="6" max="6" width="11.7109375" bestFit="1" customWidth="1"/>
  </cols>
  <sheetData>
    <row r="4" spans="3:6" x14ac:dyDescent="0.25">
      <c r="D4" s="37"/>
    </row>
    <row r="5" spans="3:6" s="13" customFormat="1" x14ac:dyDescent="0.25">
      <c r="C5" s="38"/>
      <c r="D5" s="14"/>
      <c r="E5" s="14" t="s">
        <v>97</v>
      </c>
      <c r="F5" s="14" t="s">
        <v>38</v>
      </c>
    </row>
    <row r="6" spans="3:6" x14ac:dyDescent="0.25">
      <c r="D6" s="274">
        <v>1</v>
      </c>
      <c r="E6" s="253" t="s">
        <v>26</v>
      </c>
      <c r="F6" s="254">
        <f>+RESUMEN!F6</f>
        <v>102</v>
      </c>
    </row>
    <row r="7" spans="3:6" x14ac:dyDescent="0.25">
      <c r="D7" s="275"/>
      <c r="E7" s="253" t="s">
        <v>27</v>
      </c>
      <c r="F7" s="254">
        <f>+RESUMEN!F7</f>
        <v>200</v>
      </c>
    </row>
    <row r="8" spans="3:6" x14ac:dyDescent="0.25">
      <c r="D8" s="276"/>
      <c r="E8" s="253" t="s">
        <v>28</v>
      </c>
      <c r="F8" s="254">
        <f>+RESUMEN!F8</f>
        <v>84</v>
      </c>
    </row>
    <row r="9" spans="3:6" x14ac:dyDescent="0.25">
      <c r="D9" s="10"/>
      <c r="E9" s="255" t="s">
        <v>9</v>
      </c>
      <c r="F9" s="256">
        <f>SUM(F6:F8)</f>
        <v>386</v>
      </c>
    </row>
    <row r="10" spans="3:6" x14ac:dyDescent="0.25">
      <c r="D10" s="274">
        <v>2</v>
      </c>
      <c r="E10" s="257" t="s">
        <v>30</v>
      </c>
      <c r="F10" s="258">
        <f>+RESUMEN!F10</f>
        <v>151</v>
      </c>
    </row>
    <row r="11" spans="3:6" x14ac:dyDescent="0.25">
      <c r="D11" s="275"/>
      <c r="E11" s="257" t="s">
        <v>35</v>
      </c>
      <c r="F11" s="258">
        <f>+RESUMEN!F15</f>
        <v>105</v>
      </c>
    </row>
    <row r="12" spans="3:6" x14ac:dyDescent="0.25">
      <c r="D12" s="276"/>
      <c r="E12" s="257" t="s">
        <v>37</v>
      </c>
      <c r="F12" s="258">
        <f>+RESUMEN!F17</f>
        <v>272</v>
      </c>
    </row>
    <row r="13" spans="3:6" x14ac:dyDescent="0.25">
      <c r="D13" s="10"/>
      <c r="E13" s="255" t="s">
        <v>9</v>
      </c>
      <c r="F13" s="256">
        <f>SUM(F10:F12)</f>
        <v>528</v>
      </c>
    </row>
    <row r="15" spans="3:6" x14ac:dyDescent="0.25">
      <c r="D15" s="274">
        <v>3</v>
      </c>
      <c r="E15" s="259" t="s">
        <v>29</v>
      </c>
      <c r="F15" s="260">
        <f>+RESUMEN!F9</f>
        <v>206</v>
      </c>
    </row>
    <row r="16" spans="3:6" x14ac:dyDescent="0.25">
      <c r="D16" s="275"/>
      <c r="E16" s="259" t="s">
        <v>31</v>
      </c>
      <c r="F16" s="260">
        <f>+RESUMEN!F11</f>
        <v>157</v>
      </c>
    </row>
    <row r="17" spans="4:6" x14ac:dyDescent="0.25">
      <c r="D17" s="276"/>
      <c r="E17" s="259" t="s">
        <v>34</v>
      </c>
      <c r="F17" s="260">
        <f>+RESUMEN!F14</f>
        <v>132</v>
      </c>
    </row>
    <row r="18" spans="4:6" x14ac:dyDescent="0.25">
      <c r="D18" s="10"/>
      <c r="E18" s="255" t="s">
        <v>9</v>
      </c>
      <c r="F18" s="256">
        <f>SUM(F15:F17)</f>
        <v>495</v>
      </c>
    </row>
    <row r="19" spans="4:6" x14ac:dyDescent="0.25">
      <c r="D19" s="274">
        <v>4</v>
      </c>
      <c r="E19" s="261" t="s">
        <v>32</v>
      </c>
      <c r="F19" s="262">
        <f>+RESUMEN!F12</f>
        <v>154</v>
      </c>
    </row>
    <row r="20" spans="4:6" x14ac:dyDescent="0.25">
      <c r="D20" s="275"/>
      <c r="E20" s="261" t="s">
        <v>33</v>
      </c>
      <c r="F20" s="262">
        <f>+RESUMEN!F13</f>
        <v>72</v>
      </c>
    </row>
    <row r="21" spans="4:6" x14ac:dyDescent="0.25">
      <c r="D21" s="276"/>
      <c r="E21" s="261" t="s">
        <v>36</v>
      </c>
      <c r="F21" s="262">
        <f>+RESUMEN!F16</f>
        <v>86</v>
      </c>
    </row>
    <row r="22" spans="4:6" x14ac:dyDescent="0.25">
      <c r="E22" s="255" t="s">
        <v>9</v>
      </c>
      <c r="F22" s="263">
        <f>SUM(F19:F21)</f>
        <v>312</v>
      </c>
    </row>
    <row r="24" spans="4:6" x14ac:dyDescent="0.25">
      <c r="E24" s="11" t="s">
        <v>39</v>
      </c>
      <c r="F24" s="264">
        <f>+F9+F13+F18+F22</f>
        <v>1721</v>
      </c>
    </row>
  </sheetData>
  <mergeCells count="4">
    <mergeCell ref="D6:D8"/>
    <mergeCell ref="D10:D12"/>
    <mergeCell ref="D15:D17"/>
    <mergeCell ref="D19:D21"/>
  </mergeCells>
  <printOptions horizontalCentered="1" verticalCentered="1"/>
  <pageMargins left="0.23622047244094491" right="0.23622047244094491" top="0.78740157480314965" bottom="0.78740157480314965" header="0.31496062992125984" footer="0.31496062992125984"/>
  <pageSetup paperSize="9" orientation="landscape" horizontalDpi="300" verticalDpi="300" r:id="rId1"/>
  <headerFooter>
    <oddHeader>&amp;L&amp;G&amp;C&amp;"Arial,Negrita"&amp;18&amp;A&amp;R&amp;G</oddHeader>
    <oddFooter>&amp;C&amp;"-,Negrita"&amp;10Ministerio de Obras Públicas y Comunicaciones&amp;"-,Normal"
Oliva y Alberdi Nº 411, C.P. Nº 1221, Asunción, Paraguay 
 Tel: 595 (021) 4149000&amp;R&amp;10Dirección de Caminos Vecinales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view="pageBreakPreview" zoomScaleSheetLayoutView="100" workbookViewId="0">
      <selection activeCell="F27" sqref="F27"/>
    </sheetView>
  </sheetViews>
  <sheetFormatPr defaultColWidth="11.42578125" defaultRowHeight="12.75" x14ac:dyDescent="0.2"/>
  <cols>
    <col min="1" max="1" width="14" style="140" customWidth="1"/>
    <col min="2" max="2" width="14" style="140" hidden="1" customWidth="1"/>
    <col min="3" max="3" width="47.5703125" style="140" customWidth="1"/>
    <col min="4" max="4" width="22.5703125" style="140" hidden="1" customWidth="1"/>
    <col min="5" max="5" width="9.7109375" style="140" customWidth="1"/>
    <col min="6" max="6" width="9.5703125" style="141" customWidth="1"/>
    <col min="7" max="7" width="12.85546875" style="140" customWidth="1"/>
    <col min="8" max="9" width="9.5703125" style="140" customWidth="1"/>
    <col min="10" max="10" width="16.7109375" style="140" bestFit="1" customWidth="1"/>
    <col min="11" max="11" width="24.85546875" style="140" hidden="1" customWidth="1"/>
    <col min="12" max="13" width="12.28515625" style="140" hidden="1" customWidth="1"/>
    <col min="14" max="14" width="15.5703125" style="140" hidden="1" customWidth="1"/>
    <col min="15" max="16" width="0" style="140" hidden="1" customWidth="1"/>
    <col min="17" max="17" width="19.28515625" style="140" hidden="1" customWidth="1"/>
    <col min="18" max="16384" width="11.42578125" style="140"/>
  </cols>
  <sheetData>
    <row r="1" spans="1:18" ht="16.5" x14ac:dyDescent="0.3">
      <c r="A1" s="308" t="s">
        <v>92</v>
      </c>
      <c r="B1" s="308"/>
      <c r="C1" s="309"/>
      <c r="D1" s="139"/>
    </row>
    <row r="2" spans="1:18" s="144" customFormat="1" ht="12.75" customHeight="1" x14ac:dyDescent="0.2">
      <c r="A2" s="310"/>
      <c r="B2" s="312" t="s">
        <v>91</v>
      </c>
      <c r="C2" s="122" t="s">
        <v>90</v>
      </c>
      <c r="D2" s="312" t="s">
        <v>89</v>
      </c>
      <c r="E2" s="312" t="s">
        <v>88</v>
      </c>
      <c r="F2" s="101"/>
      <c r="G2" s="289" t="s">
        <v>87</v>
      </c>
      <c r="H2" s="290"/>
      <c r="I2" s="290"/>
      <c r="J2" s="291"/>
      <c r="K2" s="142"/>
      <c r="L2" s="283"/>
      <c r="M2" s="284"/>
      <c r="N2" s="142"/>
      <c r="O2" s="283" t="s">
        <v>86</v>
      </c>
      <c r="P2" s="284"/>
      <c r="Q2" s="143"/>
      <c r="R2" s="239"/>
    </row>
    <row r="3" spans="1:18" s="144" customFormat="1" ht="67.5" customHeight="1" x14ac:dyDescent="0.2">
      <c r="A3" s="311"/>
      <c r="B3" s="313"/>
      <c r="C3" s="101" t="s">
        <v>85</v>
      </c>
      <c r="D3" s="313"/>
      <c r="E3" s="313"/>
      <c r="F3" s="102" t="s">
        <v>84</v>
      </c>
      <c r="G3" s="102" t="s">
        <v>83</v>
      </c>
      <c r="H3" s="102" t="s">
        <v>82</v>
      </c>
      <c r="I3" s="102" t="s">
        <v>81</v>
      </c>
      <c r="J3" s="102" t="s">
        <v>80</v>
      </c>
      <c r="K3" s="145" t="s">
        <v>79</v>
      </c>
      <c r="L3" s="285" t="s">
        <v>78</v>
      </c>
      <c r="M3" s="286"/>
      <c r="N3" s="145" t="s">
        <v>77</v>
      </c>
      <c r="O3" s="285"/>
      <c r="P3" s="286"/>
      <c r="Q3" s="146" t="s">
        <v>76</v>
      </c>
      <c r="R3" s="240" t="s">
        <v>367</v>
      </c>
    </row>
    <row r="4" spans="1:18" s="144" customFormat="1" x14ac:dyDescent="0.2">
      <c r="A4" s="122" t="s">
        <v>75</v>
      </c>
      <c r="B4" s="314"/>
      <c r="C4" s="121" t="s">
        <v>74</v>
      </c>
      <c r="D4" s="314"/>
      <c r="E4" s="314"/>
      <c r="F4" s="103"/>
      <c r="G4" s="103"/>
      <c r="H4" s="103"/>
      <c r="I4" s="103"/>
      <c r="J4" s="103"/>
      <c r="K4" s="44"/>
      <c r="L4" s="287"/>
      <c r="M4" s="288"/>
      <c r="N4" s="44"/>
      <c r="O4" s="287"/>
      <c r="P4" s="288"/>
      <c r="Q4" s="147"/>
      <c r="R4" s="241"/>
    </row>
    <row r="5" spans="1:18" s="150" customFormat="1" ht="12.75" hidden="1" customHeight="1" x14ac:dyDescent="0.2">
      <c r="A5" s="277">
        <v>132012</v>
      </c>
      <c r="B5" s="277" t="s">
        <v>73</v>
      </c>
      <c r="C5" s="298" t="s">
        <v>72</v>
      </c>
      <c r="D5" s="298" t="s">
        <v>71</v>
      </c>
      <c r="E5" s="277">
        <v>1</v>
      </c>
      <c r="F5" s="281" t="s">
        <v>54</v>
      </c>
      <c r="G5" s="292" t="s">
        <v>70</v>
      </c>
      <c r="H5" s="293"/>
      <c r="I5" s="293"/>
      <c r="J5" s="294"/>
      <c r="K5" s="281" t="s">
        <v>41</v>
      </c>
      <c r="L5" s="306" t="s">
        <v>69</v>
      </c>
      <c r="M5" s="307"/>
      <c r="N5" s="148">
        <v>5271000</v>
      </c>
      <c r="O5" s="302">
        <v>87.85</v>
      </c>
      <c r="P5" s="303"/>
      <c r="Q5" s="149">
        <v>87.85</v>
      </c>
    </row>
    <row r="6" spans="1:18" s="150" customFormat="1" ht="12.75" hidden="1" customHeight="1" x14ac:dyDescent="0.2">
      <c r="A6" s="278"/>
      <c r="B6" s="278"/>
      <c r="C6" s="299"/>
      <c r="D6" s="299"/>
      <c r="E6" s="278"/>
      <c r="F6" s="282"/>
      <c r="G6" s="295"/>
      <c r="H6" s="296"/>
      <c r="I6" s="296"/>
      <c r="J6" s="297"/>
      <c r="K6" s="282"/>
      <c r="L6" s="151"/>
      <c r="M6" s="152"/>
      <c r="N6" s="153"/>
      <c r="O6" s="154"/>
      <c r="P6" s="155"/>
      <c r="Q6" s="156"/>
    </row>
    <row r="7" spans="1:18" s="150" customFormat="1" ht="12.75" customHeight="1" x14ac:dyDescent="0.2">
      <c r="A7" s="36" t="s">
        <v>364</v>
      </c>
      <c r="B7" s="36"/>
      <c r="C7" s="169" t="s">
        <v>365</v>
      </c>
      <c r="D7" s="168"/>
      <c r="E7" s="36">
        <v>15</v>
      </c>
      <c r="F7" s="161" t="s">
        <v>45</v>
      </c>
      <c r="G7" s="161">
        <v>30</v>
      </c>
      <c r="H7" s="161">
        <v>4</v>
      </c>
      <c r="I7" s="180" t="s">
        <v>43</v>
      </c>
      <c r="J7" s="180" t="s">
        <v>366</v>
      </c>
      <c r="K7" s="162"/>
      <c r="L7" s="181"/>
      <c r="M7" s="182"/>
      <c r="N7" s="153"/>
      <c r="O7" s="163"/>
      <c r="P7" s="164"/>
      <c r="Q7" s="156"/>
      <c r="R7" s="243" t="s">
        <v>368</v>
      </c>
    </row>
    <row r="8" spans="1:18" s="150" customFormat="1" ht="12.75" customHeight="1" x14ac:dyDescent="0.2">
      <c r="A8" s="157" t="s">
        <v>68</v>
      </c>
      <c r="B8" s="165"/>
      <c r="C8" s="158" t="s">
        <v>67</v>
      </c>
      <c r="D8" s="159"/>
      <c r="E8" s="178">
        <v>9</v>
      </c>
      <c r="F8" s="179" t="s">
        <v>44</v>
      </c>
      <c r="G8" s="160">
        <v>7</v>
      </c>
      <c r="H8" s="160">
        <v>3</v>
      </c>
      <c r="I8" s="161" t="s">
        <v>43</v>
      </c>
      <c r="J8" s="160" t="s">
        <v>66</v>
      </c>
      <c r="K8" s="162"/>
      <c r="L8" s="151"/>
      <c r="M8" s="152"/>
      <c r="N8" s="153"/>
      <c r="O8" s="163"/>
      <c r="P8" s="164"/>
      <c r="Q8" s="156"/>
      <c r="R8" s="243" t="s">
        <v>368</v>
      </c>
    </row>
    <row r="9" spans="1:18" s="150" customFormat="1" ht="12.75" customHeight="1" x14ac:dyDescent="0.2">
      <c r="A9" s="157" t="s">
        <v>65</v>
      </c>
      <c r="B9" s="36"/>
      <c r="C9" s="166" t="s">
        <v>64</v>
      </c>
      <c r="D9" s="159"/>
      <c r="E9" s="178">
        <v>26</v>
      </c>
      <c r="F9" s="179" t="s">
        <v>54</v>
      </c>
      <c r="G9" s="160">
        <v>6</v>
      </c>
      <c r="H9" s="160">
        <v>4</v>
      </c>
      <c r="I9" s="161" t="s">
        <v>43</v>
      </c>
      <c r="J9" s="160" t="s">
        <v>63</v>
      </c>
      <c r="K9" s="162"/>
      <c r="L9" s="151"/>
      <c r="M9" s="152"/>
      <c r="N9" s="153"/>
      <c r="O9" s="163"/>
      <c r="P9" s="164"/>
      <c r="Q9" s="156"/>
      <c r="R9" s="243" t="s">
        <v>368</v>
      </c>
    </row>
    <row r="10" spans="1:18" s="150" customFormat="1" ht="12.75" customHeight="1" x14ac:dyDescent="0.2">
      <c r="A10" s="157" t="s">
        <v>62</v>
      </c>
      <c r="B10" s="36"/>
      <c r="C10" s="166" t="s">
        <v>61</v>
      </c>
      <c r="D10" s="159"/>
      <c r="E10" s="178">
        <v>44</v>
      </c>
      <c r="F10" s="179" t="s">
        <v>44</v>
      </c>
      <c r="G10" s="160">
        <v>12</v>
      </c>
      <c r="H10" s="160">
        <v>3</v>
      </c>
      <c r="I10" s="161" t="s">
        <v>43</v>
      </c>
      <c r="J10" s="160" t="s">
        <v>60</v>
      </c>
      <c r="K10" s="162"/>
      <c r="L10" s="151"/>
      <c r="M10" s="152"/>
      <c r="N10" s="153"/>
      <c r="O10" s="163"/>
      <c r="P10" s="164"/>
      <c r="Q10" s="156"/>
      <c r="R10" s="243" t="s">
        <v>368</v>
      </c>
    </row>
    <row r="11" spans="1:18" s="150" customFormat="1" ht="12.75" customHeight="1" x14ac:dyDescent="0.2">
      <c r="A11" s="157" t="s">
        <v>59</v>
      </c>
      <c r="B11" s="36"/>
      <c r="C11" s="166" t="s">
        <v>58</v>
      </c>
      <c r="D11" s="167"/>
      <c r="E11" s="178">
        <v>2</v>
      </c>
      <c r="F11" s="179" t="s">
        <v>54</v>
      </c>
      <c r="G11" s="160">
        <v>6</v>
      </c>
      <c r="H11" s="160">
        <v>5</v>
      </c>
      <c r="I11" s="161" t="s">
        <v>43</v>
      </c>
      <c r="J11" s="160" t="s">
        <v>57</v>
      </c>
      <c r="K11" s="162"/>
      <c r="L11" s="151"/>
      <c r="M11" s="152"/>
      <c r="N11" s="153"/>
      <c r="O11" s="163"/>
      <c r="P11" s="164"/>
      <c r="Q11" s="156"/>
      <c r="R11" s="243" t="s">
        <v>368</v>
      </c>
    </row>
    <row r="12" spans="1:18" s="150" customFormat="1" ht="12.75" customHeight="1" x14ac:dyDescent="0.2">
      <c r="A12" s="277" t="s">
        <v>56</v>
      </c>
      <c r="B12" s="36"/>
      <c r="C12" s="279" t="s">
        <v>55</v>
      </c>
      <c r="D12" s="167"/>
      <c r="E12" s="277">
        <v>9</v>
      </c>
      <c r="F12" s="281" t="s">
        <v>54</v>
      </c>
      <c r="G12" s="160">
        <v>5</v>
      </c>
      <c r="H12" s="160">
        <v>4</v>
      </c>
      <c r="I12" s="161" t="s">
        <v>43</v>
      </c>
      <c r="J12" s="160" t="s">
        <v>53</v>
      </c>
      <c r="K12" s="162"/>
      <c r="L12" s="151"/>
      <c r="M12" s="152"/>
      <c r="N12" s="153"/>
      <c r="O12" s="163"/>
      <c r="P12" s="164"/>
      <c r="Q12" s="156"/>
      <c r="R12" s="243" t="s">
        <v>369</v>
      </c>
    </row>
    <row r="13" spans="1:18" s="150" customFormat="1" ht="12.75" customHeight="1" x14ac:dyDescent="0.2">
      <c r="A13" s="278"/>
      <c r="B13" s="36"/>
      <c r="C13" s="280"/>
      <c r="D13" s="167"/>
      <c r="E13" s="278"/>
      <c r="F13" s="282"/>
      <c r="G13" s="160">
        <v>6</v>
      </c>
      <c r="H13" s="160">
        <v>4</v>
      </c>
      <c r="I13" s="161" t="s">
        <v>43</v>
      </c>
      <c r="J13" s="160" t="s">
        <v>52</v>
      </c>
      <c r="K13" s="162"/>
      <c r="L13" s="151"/>
      <c r="M13" s="152"/>
      <c r="N13" s="153"/>
      <c r="O13" s="163"/>
      <c r="P13" s="164"/>
      <c r="Q13" s="156"/>
      <c r="R13" s="243" t="s">
        <v>369</v>
      </c>
    </row>
    <row r="14" spans="1:18" s="150" customFormat="1" ht="12.75" customHeight="1" x14ac:dyDescent="0.2">
      <c r="A14" s="157" t="s">
        <v>51</v>
      </c>
      <c r="B14" s="36"/>
      <c r="C14" s="166" t="s">
        <v>50</v>
      </c>
      <c r="D14" s="167"/>
      <c r="E14" s="178">
        <v>30</v>
      </c>
      <c r="F14" s="270" t="s">
        <v>44</v>
      </c>
      <c r="G14" s="160">
        <v>20</v>
      </c>
      <c r="H14" s="160">
        <v>3</v>
      </c>
      <c r="I14" s="161" t="s">
        <v>43</v>
      </c>
      <c r="J14" s="160" t="s">
        <v>49</v>
      </c>
      <c r="K14" s="162"/>
      <c r="L14" s="151"/>
      <c r="M14" s="152"/>
      <c r="N14" s="153"/>
      <c r="O14" s="163"/>
      <c r="P14" s="164"/>
      <c r="Q14" s="156"/>
      <c r="R14" s="243" t="s">
        <v>369</v>
      </c>
    </row>
    <row r="15" spans="1:18" s="150" customFormat="1" ht="12.75" customHeight="1" x14ac:dyDescent="0.2">
      <c r="A15" s="243" t="s">
        <v>48</v>
      </c>
      <c r="B15" s="36"/>
      <c r="C15" s="169" t="s">
        <v>47</v>
      </c>
      <c r="D15" s="168"/>
      <c r="E15" s="36">
        <v>58</v>
      </c>
      <c r="F15" s="161" t="s">
        <v>44</v>
      </c>
      <c r="G15" s="161">
        <v>10</v>
      </c>
      <c r="H15" s="161">
        <v>4</v>
      </c>
      <c r="I15" s="161" t="s">
        <v>43</v>
      </c>
      <c r="J15" s="161" t="s">
        <v>46</v>
      </c>
      <c r="K15" s="162"/>
      <c r="L15" s="151"/>
      <c r="M15" s="152"/>
      <c r="N15" s="153"/>
      <c r="O15" s="163"/>
      <c r="P15" s="164"/>
      <c r="Q15" s="156"/>
      <c r="R15" s="243" t="s">
        <v>369</v>
      </c>
    </row>
    <row r="16" spans="1:18" s="150" customFormat="1" ht="12.75" customHeight="1" x14ac:dyDescent="0.2">
      <c r="A16" s="140"/>
      <c r="B16" s="140"/>
      <c r="C16" s="140"/>
      <c r="D16" s="140"/>
      <c r="E16" s="140"/>
      <c r="F16" s="141"/>
      <c r="G16" s="140"/>
      <c r="H16" s="140"/>
      <c r="I16" s="140"/>
      <c r="J16" s="140"/>
      <c r="K16" s="162"/>
      <c r="L16" s="151"/>
      <c r="M16" s="152"/>
      <c r="N16" s="153"/>
      <c r="O16" s="163"/>
      <c r="P16" s="164"/>
      <c r="Q16" s="156"/>
    </row>
    <row r="17" spans="1:20" s="150" customFormat="1" ht="17.25" customHeight="1" x14ac:dyDescent="0.3">
      <c r="A17" s="140"/>
      <c r="B17" s="140"/>
      <c r="C17" s="140"/>
      <c r="D17" s="140"/>
      <c r="E17" s="140"/>
      <c r="F17" s="170" t="s">
        <v>42</v>
      </c>
      <c r="G17" s="171">
        <f>SUM(G7:G15)</f>
        <v>102</v>
      </c>
      <c r="H17" s="171"/>
      <c r="I17" s="140"/>
      <c r="J17" s="140"/>
      <c r="K17" s="162"/>
      <c r="L17" s="151"/>
      <c r="M17" s="152"/>
      <c r="N17" s="153"/>
      <c r="O17" s="163"/>
      <c r="P17" s="164"/>
      <c r="Q17" s="156"/>
    </row>
    <row r="18" spans="1:20" s="150" customFormat="1" ht="12.75" customHeight="1" x14ac:dyDescent="0.2">
      <c r="A18" s="140"/>
      <c r="B18" s="140"/>
      <c r="C18" s="140"/>
      <c r="D18" s="140"/>
      <c r="E18" s="140"/>
      <c r="F18" s="141"/>
      <c r="G18" s="140"/>
      <c r="H18" s="140"/>
      <c r="I18" s="140"/>
      <c r="J18" s="140"/>
      <c r="K18" s="162"/>
      <c r="L18" s="151"/>
      <c r="M18" s="152"/>
      <c r="N18" s="153"/>
      <c r="O18" s="163"/>
      <c r="P18" s="164"/>
      <c r="Q18" s="156"/>
    </row>
    <row r="19" spans="1:20" s="150" customFormat="1" ht="12.75" customHeight="1" x14ac:dyDescent="0.2">
      <c r="A19" s="140"/>
      <c r="B19" s="140"/>
      <c r="C19" s="140"/>
      <c r="D19" s="140"/>
      <c r="E19" s="140"/>
      <c r="F19" s="141"/>
      <c r="G19" s="140"/>
      <c r="H19" s="140"/>
      <c r="I19" s="140"/>
      <c r="J19" s="140"/>
      <c r="K19" s="162"/>
      <c r="L19" s="151"/>
      <c r="M19" s="152"/>
      <c r="N19" s="153"/>
      <c r="O19" s="163"/>
      <c r="P19" s="164"/>
      <c r="Q19" s="156"/>
    </row>
    <row r="20" spans="1:20" s="150" customFormat="1" ht="12.75" customHeight="1" x14ac:dyDescent="0.2">
      <c r="A20" s="140"/>
      <c r="B20" s="140"/>
      <c r="C20" s="140"/>
      <c r="D20" s="140"/>
      <c r="E20" s="140"/>
      <c r="F20" s="141"/>
      <c r="G20" s="140"/>
      <c r="H20" s="140"/>
      <c r="I20" s="140"/>
      <c r="J20" s="140"/>
      <c r="K20" s="162"/>
      <c r="L20" s="151"/>
      <c r="M20" s="152"/>
      <c r="N20" s="153"/>
      <c r="O20" s="163"/>
      <c r="P20" s="164"/>
      <c r="Q20" s="156"/>
    </row>
    <row r="21" spans="1:20" s="150" customFormat="1" ht="12.75" customHeight="1" x14ac:dyDescent="0.2">
      <c r="A21" s="140"/>
      <c r="B21" s="140"/>
      <c r="C21" s="140"/>
      <c r="D21" s="140"/>
      <c r="E21" s="140"/>
      <c r="F21" s="141"/>
      <c r="G21" s="140"/>
      <c r="H21" s="140"/>
      <c r="I21" s="140"/>
      <c r="J21" s="140"/>
      <c r="K21" s="162"/>
      <c r="L21" s="151"/>
      <c r="M21" s="152"/>
      <c r="N21" s="153"/>
      <c r="O21" s="163"/>
      <c r="P21" s="164"/>
      <c r="Q21" s="156"/>
    </row>
    <row r="22" spans="1:20" s="150" customFormat="1" ht="12.75" customHeight="1" x14ac:dyDescent="0.2">
      <c r="A22" s="140"/>
      <c r="B22" s="140"/>
      <c r="C22" s="140"/>
      <c r="D22" s="140"/>
      <c r="E22" s="140"/>
      <c r="F22" s="141"/>
      <c r="G22" s="140"/>
      <c r="H22" s="140"/>
      <c r="I22" s="140"/>
      <c r="J22" s="140"/>
      <c r="K22" s="162"/>
      <c r="L22" s="151"/>
      <c r="M22" s="152"/>
      <c r="N22" s="153"/>
      <c r="O22" s="163"/>
      <c r="P22" s="164"/>
      <c r="Q22" s="156"/>
    </row>
    <row r="23" spans="1:20" hidden="1" x14ac:dyDescent="0.2">
      <c r="K23" s="161" t="s">
        <v>41</v>
      </c>
      <c r="L23" s="304" t="s">
        <v>40</v>
      </c>
      <c r="M23" s="305"/>
      <c r="N23" s="172">
        <v>1632000</v>
      </c>
      <c r="O23" s="300">
        <v>27.2</v>
      </c>
      <c r="P23" s="301"/>
      <c r="Q23" s="149">
        <v>27.2</v>
      </c>
    </row>
    <row r="24" spans="1:20" hidden="1" x14ac:dyDescent="0.2">
      <c r="K24" s="161" t="s">
        <v>41</v>
      </c>
      <c r="L24" s="306" t="s">
        <v>40</v>
      </c>
      <c r="M24" s="307"/>
      <c r="N24" s="148">
        <v>2108400</v>
      </c>
      <c r="O24" s="302">
        <v>35.14</v>
      </c>
      <c r="P24" s="303"/>
      <c r="Q24" s="154">
        <v>35.14</v>
      </c>
    </row>
    <row r="25" spans="1:20" x14ac:dyDescent="0.2">
      <c r="Q25" s="173">
        <f>SUM(Q5:Q24)</f>
        <v>150.19</v>
      </c>
      <c r="R25" s="174"/>
      <c r="S25" s="174"/>
      <c r="T25" s="174"/>
    </row>
    <row r="26" spans="1:20" x14ac:dyDescent="0.2">
      <c r="R26" s="175"/>
      <c r="S26" s="175"/>
      <c r="T26" s="175"/>
    </row>
  </sheetData>
  <mergeCells count="28">
    <mergeCell ref="A1:C1"/>
    <mergeCell ref="A2:A3"/>
    <mergeCell ref="E2:E4"/>
    <mergeCell ref="B2:B4"/>
    <mergeCell ref="D2:D4"/>
    <mergeCell ref="O23:P23"/>
    <mergeCell ref="O24:P24"/>
    <mergeCell ref="L23:M23"/>
    <mergeCell ref="L24:M24"/>
    <mergeCell ref="L3:M3"/>
    <mergeCell ref="L4:M4"/>
    <mergeCell ref="O5:P5"/>
    <mergeCell ref="L5:M5"/>
    <mergeCell ref="A12:A13"/>
    <mergeCell ref="C12:C13"/>
    <mergeCell ref="E12:E13"/>
    <mergeCell ref="F12:F13"/>
    <mergeCell ref="O2:P4"/>
    <mergeCell ref="G2:J2"/>
    <mergeCell ref="L2:M2"/>
    <mergeCell ref="F5:F6"/>
    <mergeCell ref="K5:K6"/>
    <mergeCell ref="G5:J6"/>
    <mergeCell ref="A5:A6"/>
    <mergeCell ref="B5:B6"/>
    <mergeCell ref="C5:C6"/>
    <mergeCell ref="D5:D6"/>
    <mergeCell ref="E5:E6"/>
  </mergeCells>
  <printOptions horizontalCentered="1" verticalCentered="1"/>
  <pageMargins left="0.23622047244094491" right="0.23622047244094491" top="0.78740157480314965" bottom="0.78740157480314965" header="0.31496062992125984" footer="0.31496062992125984"/>
  <pageSetup paperSize="9" orientation="landscape" horizontalDpi="300" verticalDpi="300" r:id="rId1"/>
  <headerFooter alignWithMargins="0">
    <oddHeader>&amp;L&amp;G&amp;C&amp;"-,Negrita"&amp;18&amp;A&amp;R&amp;G</oddHeader>
    <oddFooter>&amp;C&amp;"-,Negrita"&amp;10Ministerio de Obras Públicas y Comunicaciones&amp;"-,Normal"
Oliva y Alberdi Nº 411, C.P. Nº 1221, Asunción, Paraguay
Tel: 595 (021) 4149000&amp;R&amp;10Dirección de Caminos Vecinales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view="pageBreakPreview" zoomScaleSheetLayoutView="100" workbookViewId="0">
      <selection activeCell="J26" sqref="J26"/>
    </sheetView>
  </sheetViews>
  <sheetFormatPr defaultColWidth="11.42578125" defaultRowHeight="15" x14ac:dyDescent="0.25"/>
  <cols>
    <col min="1" max="1" width="11.5703125" customWidth="1"/>
    <col min="2" max="2" width="42.28515625" bestFit="1" customWidth="1"/>
    <col min="3" max="3" width="14.28515625" bestFit="1" customWidth="1"/>
    <col min="4" max="4" width="6.28515625" bestFit="1" customWidth="1"/>
    <col min="5" max="5" width="12.28515625" customWidth="1"/>
    <col min="6" max="6" width="18.42578125" bestFit="1" customWidth="1"/>
    <col min="7" max="7" width="18.5703125" bestFit="1" customWidth="1"/>
  </cols>
  <sheetData>
    <row r="1" spans="1:7" ht="18" x14ac:dyDescent="0.25">
      <c r="A1" s="1" t="s">
        <v>25</v>
      </c>
      <c r="B1" s="1"/>
      <c r="C1" s="1"/>
      <c r="D1" s="1"/>
      <c r="E1" s="1"/>
      <c r="F1" s="1"/>
    </row>
    <row r="2" spans="1:7" ht="18.75" x14ac:dyDescent="0.3">
      <c r="A2" s="2" t="s">
        <v>0</v>
      </c>
      <c r="B2" s="2"/>
      <c r="C2" s="2"/>
      <c r="D2" s="2"/>
      <c r="E2" s="2"/>
      <c r="F2" s="2"/>
    </row>
    <row r="3" spans="1:7" x14ac:dyDescent="0.25">
      <c r="A3" s="3"/>
      <c r="B3" s="3"/>
      <c r="C3" s="3"/>
      <c r="D3" s="3"/>
      <c r="E3" s="3"/>
      <c r="F3" s="3"/>
    </row>
    <row r="4" spans="1:7" x14ac:dyDescent="0.25">
      <c r="A4" s="315" t="s">
        <v>1</v>
      </c>
      <c r="B4" s="315" t="s">
        <v>2</v>
      </c>
      <c r="C4" s="320" t="s">
        <v>3</v>
      </c>
      <c r="D4" s="316" t="s">
        <v>4</v>
      </c>
      <c r="E4" s="316"/>
      <c r="F4" s="315" t="s">
        <v>5</v>
      </c>
      <c r="G4" s="315" t="s">
        <v>367</v>
      </c>
    </row>
    <row r="5" spans="1:7" x14ac:dyDescent="0.25">
      <c r="A5" s="315"/>
      <c r="B5" s="315"/>
      <c r="C5" s="320"/>
      <c r="D5" s="176" t="s">
        <v>6</v>
      </c>
      <c r="E5" s="176" t="s">
        <v>7</v>
      </c>
      <c r="F5" s="315"/>
      <c r="G5" s="315"/>
    </row>
    <row r="6" spans="1:7" ht="25.5" x14ac:dyDescent="0.25">
      <c r="A6" s="10"/>
      <c r="B6" s="205" t="s">
        <v>10</v>
      </c>
      <c r="C6" s="8" t="s">
        <v>8</v>
      </c>
      <c r="D6" s="4">
        <v>3</v>
      </c>
      <c r="E6" s="4">
        <v>27</v>
      </c>
      <c r="F6" s="9" t="s">
        <v>11</v>
      </c>
      <c r="G6" s="10" t="s">
        <v>370</v>
      </c>
    </row>
    <row r="7" spans="1:7" x14ac:dyDescent="0.25">
      <c r="A7" s="10"/>
      <c r="B7" s="317" t="s">
        <v>12</v>
      </c>
      <c r="C7" s="8" t="s">
        <v>8</v>
      </c>
      <c r="D7" s="4">
        <v>4</v>
      </c>
      <c r="E7" s="4">
        <v>30</v>
      </c>
      <c r="F7" s="216" t="s">
        <v>13</v>
      </c>
      <c r="G7" s="10" t="s">
        <v>370</v>
      </c>
    </row>
    <row r="8" spans="1:7" x14ac:dyDescent="0.25">
      <c r="A8" s="10"/>
      <c r="B8" s="319"/>
      <c r="C8" s="8" t="s">
        <v>8</v>
      </c>
      <c r="D8" s="4">
        <v>4</v>
      </c>
      <c r="E8" s="4">
        <v>10</v>
      </c>
      <c r="F8" s="216" t="s">
        <v>14</v>
      </c>
      <c r="G8" s="10" t="s">
        <v>370</v>
      </c>
    </row>
    <row r="9" spans="1:7" x14ac:dyDescent="0.25">
      <c r="A9" s="10"/>
      <c r="B9" s="205" t="s">
        <v>15</v>
      </c>
      <c r="C9" s="8" t="s">
        <v>8</v>
      </c>
      <c r="D9" s="4">
        <v>4</v>
      </c>
      <c r="E9" s="4">
        <v>12</v>
      </c>
      <c r="F9" s="216" t="s">
        <v>16</v>
      </c>
      <c r="G9" s="10" t="s">
        <v>371</v>
      </c>
    </row>
    <row r="10" spans="1:7" x14ac:dyDescent="0.25">
      <c r="A10" s="10"/>
      <c r="B10" s="317" t="s">
        <v>17</v>
      </c>
      <c r="C10" s="8" t="s">
        <v>8</v>
      </c>
      <c r="D10" s="4">
        <v>4</v>
      </c>
      <c r="E10" s="4">
        <v>6</v>
      </c>
      <c r="F10" s="216" t="s">
        <v>19</v>
      </c>
      <c r="G10" s="217" t="s">
        <v>373</v>
      </c>
    </row>
    <row r="11" spans="1:7" x14ac:dyDescent="0.25">
      <c r="A11" s="10"/>
      <c r="B11" s="318"/>
      <c r="C11" s="8" t="s">
        <v>8</v>
      </c>
      <c r="D11" s="4">
        <v>4</v>
      </c>
      <c r="E11" s="4">
        <v>8</v>
      </c>
      <c r="F11" s="216" t="s">
        <v>20</v>
      </c>
      <c r="G11" s="217" t="s">
        <v>373</v>
      </c>
    </row>
    <row r="12" spans="1:7" x14ac:dyDescent="0.25">
      <c r="A12" s="10"/>
      <c r="B12" s="318"/>
      <c r="C12" s="8" t="s">
        <v>8</v>
      </c>
      <c r="D12" s="4">
        <v>4</v>
      </c>
      <c r="E12" s="4">
        <v>10</v>
      </c>
      <c r="F12" s="216" t="s">
        <v>21</v>
      </c>
      <c r="G12" s="217" t="s">
        <v>373</v>
      </c>
    </row>
    <row r="13" spans="1:7" x14ac:dyDescent="0.25">
      <c r="A13" s="10"/>
      <c r="B13" s="319"/>
      <c r="C13" s="8" t="s">
        <v>8</v>
      </c>
      <c r="D13" s="4">
        <v>4</v>
      </c>
      <c r="E13" s="4">
        <v>12</v>
      </c>
      <c r="F13" s="216" t="s">
        <v>22</v>
      </c>
      <c r="G13" s="217" t="s">
        <v>373</v>
      </c>
    </row>
    <row r="14" spans="1:7" s="226" customFormat="1" x14ac:dyDescent="0.25">
      <c r="A14" s="222"/>
      <c r="B14" s="223" t="s">
        <v>23</v>
      </c>
      <c r="C14" s="224" t="s">
        <v>8</v>
      </c>
      <c r="D14" s="225">
        <v>4</v>
      </c>
      <c r="E14" s="225">
        <v>13</v>
      </c>
      <c r="F14" s="221" t="s">
        <v>24</v>
      </c>
      <c r="G14" s="10" t="s">
        <v>370</v>
      </c>
    </row>
    <row r="15" spans="1:7" s="220" customFormat="1" ht="25.5" x14ac:dyDescent="0.25">
      <c r="A15" s="217"/>
      <c r="B15" s="218" t="s">
        <v>363</v>
      </c>
      <c r="C15" s="194" t="s">
        <v>8</v>
      </c>
      <c r="D15" s="219">
        <v>4</v>
      </c>
      <c r="E15" s="219">
        <v>36</v>
      </c>
      <c r="F15" s="221" t="s">
        <v>360</v>
      </c>
      <c r="G15" s="10" t="s">
        <v>372</v>
      </c>
    </row>
    <row r="16" spans="1:7" s="220" customFormat="1" x14ac:dyDescent="0.25">
      <c r="A16" s="217"/>
      <c r="B16" s="218" t="s">
        <v>361</v>
      </c>
      <c r="C16" s="194" t="s">
        <v>8</v>
      </c>
      <c r="D16" s="219">
        <v>4</v>
      </c>
      <c r="E16" s="219">
        <v>36</v>
      </c>
      <c r="F16" s="215" t="s">
        <v>362</v>
      </c>
      <c r="G16" s="10" t="s">
        <v>372</v>
      </c>
    </row>
    <row r="17" spans="1:5" ht="18.75" x14ac:dyDescent="0.3">
      <c r="A17" s="3"/>
      <c r="B17" s="206"/>
      <c r="C17" s="5"/>
      <c r="D17" s="6" t="s">
        <v>9</v>
      </c>
      <c r="E17" s="7">
        <f>SUM(E6:E16)</f>
        <v>200</v>
      </c>
    </row>
    <row r="18" spans="1:5" x14ac:dyDescent="0.25">
      <c r="B18" s="206"/>
    </row>
    <row r="19" spans="1:5" x14ac:dyDescent="0.25">
      <c r="B19" s="206"/>
    </row>
    <row r="20" spans="1:5" x14ac:dyDescent="0.25">
      <c r="B20" s="206"/>
    </row>
    <row r="21" spans="1:5" x14ac:dyDescent="0.25">
      <c r="B21" s="206"/>
    </row>
    <row r="22" spans="1:5" x14ac:dyDescent="0.25">
      <c r="B22" s="206"/>
    </row>
    <row r="23" spans="1:5" x14ac:dyDescent="0.25">
      <c r="B23" s="206"/>
    </row>
    <row r="24" spans="1:5" x14ac:dyDescent="0.25">
      <c r="B24" s="206"/>
    </row>
    <row r="25" spans="1:5" x14ac:dyDescent="0.25">
      <c r="B25" s="206"/>
    </row>
    <row r="26" spans="1:5" x14ac:dyDescent="0.25">
      <c r="B26" s="206"/>
    </row>
  </sheetData>
  <mergeCells count="8">
    <mergeCell ref="G4:G5"/>
    <mergeCell ref="F4:F5"/>
    <mergeCell ref="D4:E4"/>
    <mergeCell ref="B10:B13"/>
    <mergeCell ref="A4:A5"/>
    <mergeCell ref="B4:B5"/>
    <mergeCell ref="C4:C5"/>
    <mergeCell ref="B7:B8"/>
  </mergeCells>
  <printOptions horizontalCentered="1" verticalCentered="1"/>
  <pageMargins left="0.23622047244094491" right="0.23622047244094491" top="0.78740157480314965" bottom="0.78740157480314965" header="0.31496062992125984" footer="0.31496062992125984"/>
  <pageSetup paperSize="9" orientation="landscape" horizontalDpi="300" verticalDpi="300" r:id="rId1"/>
  <headerFooter>
    <oddHeader>&amp;L&amp;G&amp;C&amp;"-,Negrita"&amp;18&amp;A&amp;R&amp;G</oddHeader>
    <oddFooter>&amp;C&amp;"-,Negrita"&amp;10Ministerio de Obras Públicas y Comunicaciones&amp;"-,Normal"
Oliva y Alberdi Nº 411, C.P. Nº 1221, Asunción, Paraguay
Tel: 595 (021) 4149000&amp;R&amp;10Dirección de Caminos Vecinales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view="pageBreakPreview" zoomScaleSheetLayoutView="100" workbookViewId="0">
      <selection activeCell="H24" sqref="H24"/>
    </sheetView>
  </sheetViews>
  <sheetFormatPr defaultColWidth="11.42578125" defaultRowHeight="12.75" x14ac:dyDescent="0.2"/>
  <cols>
    <col min="1" max="1" width="14" style="16" customWidth="1"/>
    <col min="2" max="2" width="48.28515625" style="16" bestFit="1" customWidth="1"/>
    <col min="3" max="3" width="9.85546875" style="45" bestFit="1" customWidth="1"/>
    <col min="4" max="4" width="12.28515625" style="16" bestFit="1" customWidth="1"/>
    <col min="5" max="7" width="9.42578125" style="16" customWidth="1"/>
    <col min="8" max="8" width="25.140625" style="16" customWidth="1"/>
    <col min="9" max="9" width="11.7109375" style="16" bestFit="1" customWidth="1"/>
    <col min="10" max="16384" width="11.42578125" style="16"/>
  </cols>
  <sheetData>
    <row r="1" spans="1:9" x14ac:dyDescent="0.2">
      <c r="A1" s="329" t="s">
        <v>281</v>
      </c>
      <c r="B1" s="330"/>
      <c r="C1" s="330"/>
      <c r="D1" s="330"/>
    </row>
    <row r="2" spans="1:9" s="30" customFormat="1" ht="12.75" customHeight="1" x14ac:dyDescent="0.2">
      <c r="A2" s="331" t="s">
        <v>96</v>
      </c>
      <c r="B2" s="122" t="s">
        <v>90</v>
      </c>
      <c r="C2" s="332" t="s">
        <v>280</v>
      </c>
      <c r="D2" s="333" t="s">
        <v>128</v>
      </c>
      <c r="E2" s="328" t="s">
        <v>87</v>
      </c>
      <c r="F2" s="328"/>
      <c r="G2" s="328"/>
      <c r="H2" s="328"/>
      <c r="I2" s="321" t="s">
        <v>367</v>
      </c>
    </row>
    <row r="3" spans="1:9" s="30" customFormat="1" ht="55.5" customHeight="1" x14ac:dyDescent="0.2">
      <c r="A3" s="331"/>
      <c r="B3" s="328" t="s">
        <v>85</v>
      </c>
      <c r="C3" s="333"/>
      <c r="D3" s="333"/>
      <c r="E3" s="328" t="s">
        <v>83</v>
      </c>
      <c r="F3" s="328" t="s">
        <v>82</v>
      </c>
      <c r="G3" s="328" t="s">
        <v>81</v>
      </c>
      <c r="H3" s="328" t="s">
        <v>80</v>
      </c>
      <c r="I3" s="322"/>
    </row>
    <row r="4" spans="1:9" s="30" customFormat="1" x14ac:dyDescent="0.2">
      <c r="A4" s="331"/>
      <c r="B4" s="328"/>
      <c r="C4" s="333"/>
      <c r="D4" s="333"/>
      <c r="E4" s="328"/>
      <c r="F4" s="328"/>
      <c r="G4" s="328"/>
      <c r="H4" s="328"/>
      <c r="I4" s="322"/>
    </row>
    <row r="5" spans="1:9" s="30" customFormat="1" x14ac:dyDescent="0.2">
      <c r="A5" s="331"/>
      <c r="B5" s="328"/>
      <c r="C5" s="333"/>
      <c r="D5" s="333"/>
      <c r="E5" s="328"/>
      <c r="F5" s="328"/>
      <c r="G5" s="328"/>
      <c r="H5" s="328"/>
      <c r="I5" s="322"/>
    </row>
    <row r="6" spans="1:9" s="30" customFormat="1" x14ac:dyDescent="0.2">
      <c r="A6" s="122" t="s">
        <v>75</v>
      </c>
      <c r="B6" s="121" t="s">
        <v>74</v>
      </c>
      <c r="C6" s="123"/>
      <c r="D6" s="123"/>
      <c r="E6" s="328"/>
      <c r="F6" s="328"/>
      <c r="G6" s="328"/>
      <c r="H6" s="328"/>
      <c r="I6" s="323"/>
    </row>
    <row r="7" spans="1:9" x14ac:dyDescent="0.2">
      <c r="A7" s="27">
        <v>33052</v>
      </c>
      <c r="B7" s="188" t="s">
        <v>279</v>
      </c>
      <c r="C7" s="47">
        <v>36</v>
      </c>
      <c r="D7" s="22" t="s">
        <v>44</v>
      </c>
      <c r="E7" s="22">
        <v>9</v>
      </c>
      <c r="F7" s="22">
        <v>4</v>
      </c>
      <c r="G7" s="22" t="s">
        <v>43</v>
      </c>
      <c r="H7" s="22" t="s">
        <v>278</v>
      </c>
      <c r="I7" s="243" t="s">
        <v>374</v>
      </c>
    </row>
    <row r="8" spans="1:9" x14ac:dyDescent="0.2">
      <c r="A8" s="327">
        <v>3235</v>
      </c>
      <c r="B8" s="326" t="s">
        <v>277</v>
      </c>
      <c r="C8" s="325">
        <v>35</v>
      </c>
      <c r="D8" s="324" t="s">
        <v>45</v>
      </c>
      <c r="E8" s="22">
        <v>25</v>
      </c>
      <c r="F8" s="22">
        <v>4</v>
      </c>
      <c r="G8" s="22" t="s">
        <v>43</v>
      </c>
      <c r="H8" s="22" t="s">
        <v>276</v>
      </c>
      <c r="I8" s="244" t="s">
        <v>376</v>
      </c>
    </row>
    <row r="9" spans="1:9" x14ac:dyDescent="0.2">
      <c r="A9" s="327"/>
      <c r="B9" s="326"/>
      <c r="C9" s="325"/>
      <c r="D9" s="324"/>
      <c r="E9" s="22">
        <v>12</v>
      </c>
      <c r="F9" s="22">
        <v>4</v>
      </c>
      <c r="G9" s="22" t="s">
        <v>43</v>
      </c>
      <c r="H9" s="22" t="s">
        <v>275</v>
      </c>
      <c r="I9" s="16" t="s">
        <v>376</v>
      </c>
    </row>
    <row r="10" spans="1:9" x14ac:dyDescent="0.2">
      <c r="A10" s="27">
        <v>33116</v>
      </c>
      <c r="B10" s="188" t="s">
        <v>274</v>
      </c>
      <c r="C10" s="47">
        <v>66</v>
      </c>
      <c r="D10" s="22" t="s">
        <v>44</v>
      </c>
      <c r="E10" s="22">
        <v>12</v>
      </c>
      <c r="F10" s="22">
        <v>5</v>
      </c>
      <c r="G10" s="22" t="s">
        <v>43</v>
      </c>
      <c r="H10" s="22" t="s">
        <v>273</v>
      </c>
      <c r="I10" s="243" t="s">
        <v>375</v>
      </c>
    </row>
    <row r="11" spans="1:9" x14ac:dyDescent="0.2">
      <c r="A11" s="27">
        <v>33031</v>
      </c>
      <c r="B11" s="188" t="s">
        <v>272</v>
      </c>
      <c r="C11" s="47">
        <v>91</v>
      </c>
      <c r="D11" s="22" t="s">
        <v>45</v>
      </c>
      <c r="E11" s="22">
        <v>6</v>
      </c>
      <c r="F11" s="22">
        <v>3</v>
      </c>
      <c r="G11" s="22" t="s">
        <v>43</v>
      </c>
      <c r="H11" s="22" t="s">
        <v>271</v>
      </c>
      <c r="I11" s="243" t="s">
        <v>377</v>
      </c>
    </row>
    <row r="12" spans="1:9" ht="12.75" customHeight="1" x14ac:dyDescent="0.2">
      <c r="A12" s="27">
        <v>3225</v>
      </c>
      <c r="B12" s="188" t="s">
        <v>270</v>
      </c>
      <c r="C12" s="47">
        <v>15</v>
      </c>
      <c r="D12" s="22" t="s">
        <v>44</v>
      </c>
      <c r="E12" s="22">
        <v>6</v>
      </c>
      <c r="F12" s="22">
        <v>3</v>
      </c>
      <c r="G12" s="22" t="s">
        <v>43</v>
      </c>
      <c r="H12" s="22" t="s">
        <v>269</v>
      </c>
      <c r="I12" s="243" t="s">
        <v>378</v>
      </c>
    </row>
    <row r="13" spans="1:9" ht="12.75" customHeight="1" x14ac:dyDescent="0.2">
      <c r="A13" s="27">
        <v>3248</v>
      </c>
      <c r="B13" s="188" t="s">
        <v>268</v>
      </c>
      <c r="C13" s="47">
        <v>29</v>
      </c>
      <c r="D13" s="22" t="s">
        <v>44</v>
      </c>
      <c r="E13" s="22">
        <v>8</v>
      </c>
      <c r="F13" s="22">
        <v>4</v>
      </c>
      <c r="G13" s="22" t="s">
        <v>43</v>
      </c>
      <c r="H13" s="22" t="s">
        <v>267</v>
      </c>
      <c r="I13" s="243" t="s">
        <v>378</v>
      </c>
    </row>
    <row r="14" spans="1:9" ht="11.25" customHeight="1" x14ac:dyDescent="0.2">
      <c r="A14" s="27">
        <v>3249</v>
      </c>
      <c r="B14" s="188" t="s">
        <v>266</v>
      </c>
      <c r="C14" s="47">
        <v>37</v>
      </c>
      <c r="D14" s="22" t="s">
        <v>45</v>
      </c>
      <c r="E14" s="22">
        <v>6</v>
      </c>
      <c r="F14" s="22">
        <v>5</v>
      </c>
      <c r="G14" s="22" t="s">
        <v>43</v>
      </c>
      <c r="H14" s="22" t="s">
        <v>265</v>
      </c>
      <c r="I14" s="243" t="s">
        <v>379</v>
      </c>
    </row>
    <row r="15" spans="1:9" x14ac:dyDescent="0.2">
      <c r="D15" s="46" t="s">
        <v>264</v>
      </c>
      <c r="E15" s="271">
        <f>SUM(E7:E14)</f>
        <v>84</v>
      </c>
    </row>
  </sheetData>
  <mergeCells count="15">
    <mergeCell ref="A1:D1"/>
    <mergeCell ref="A2:A5"/>
    <mergeCell ref="C2:C5"/>
    <mergeCell ref="D2:D5"/>
    <mergeCell ref="B3:B5"/>
    <mergeCell ref="I2:I6"/>
    <mergeCell ref="D8:D9"/>
    <mergeCell ref="C8:C9"/>
    <mergeCell ref="B8:B9"/>
    <mergeCell ref="A8:A9"/>
    <mergeCell ref="E2:H2"/>
    <mergeCell ref="E3:E6"/>
    <mergeCell ref="F3:F6"/>
    <mergeCell ref="G3:G6"/>
    <mergeCell ref="H3:H6"/>
  </mergeCells>
  <printOptions horizontalCentered="1" verticalCentered="1"/>
  <pageMargins left="0.23622047244094491" right="0.23622047244094491" top="0.78740157480314965" bottom="0.78740157480314965" header="0.39370078740157483" footer="0.19685039370078741"/>
  <pageSetup paperSize="9" scale="95" orientation="landscape" horizontalDpi="300" verticalDpi="300" r:id="rId1"/>
  <headerFooter alignWithMargins="0">
    <oddHeader>&amp;L&amp;G&amp;C&amp;"-,Negrita"&amp;18&amp;A&amp;R&amp;G</oddHeader>
    <oddFooter>&amp;C&amp;"-,Negrita"&amp;10Ministerio de Obras Públicas y Comunicaciones&amp;"-,Normal"
Oliva y Alberdi Nº 411, C.P. Nº 1221, Asunción, Paraguay
Tel: 595 (021) 4149000&amp;R&amp;10Dirección de Caminos Vecinales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8"/>
  <sheetViews>
    <sheetView view="pageBreakPreview" zoomScaleNormal="140" zoomScaleSheetLayoutView="100" workbookViewId="0">
      <selection activeCell="R34" sqref="R34"/>
    </sheetView>
  </sheetViews>
  <sheetFormatPr defaultColWidth="11.42578125" defaultRowHeight="12.75" x14ac:dyDescent="0.2"/>
  <cols>
    <col min="1" max="1" width="14" style="16" customWidth="1"/>
    <col min="2" max="2" width="14" style="16" hidden="1" customWidth="1"/>
    <col min="3" max="3" width="47.5703125" style="16" customWidth="1"/>
    <col min="4" max="4" width="22.5703125" style="16" hidden="1" customWidth="1"/>
    <col min="5" max="5" width="9.7109375" style="16" customWidth="1"/>
    <col min="6" max="6" width="9.5703125" style="17" customWidth="1"/>
    <col min="7" max="7" width="14.140625" style="16" customWidth="1"/>
    <col min="8" max="9" width="9.5703125" style="16" customWidth="1"/>
    <col min="10" max="10" width="29.85546875" style="16" customWidth="1"/>
    <col min="11" max="11" width="24.85546875" style="16" hidden="1" customWidth="1"/>
    <col min="12" max="13" width="12.28515625" style="16" hidden="1" customWidth="1"/>
    <col min="14" max="14" width="15.5703125" style="16" hidden="1" customWidth="1"/>
    <col min="15" max="16" width="0" style="16" hidden="1" customWidth="1"/>
    <col min="17" max="17" width="19.28515625" style="16" hidden="1" customWidth="1"/>
    <col min="18" max="18" width="16.28515625" style="16" bestFit="1" customWidth="1"/>
    <col min="19" max="16384" width="11.42578125" style="16"/>
  </cols>
  <sheetData>
    <row r="1" spans="1:18" ht="16.5" x14ac:dyDescent="0.3">
      <c r="A1" s="358" t="s">
        <v>335</v>
      </c>
      <c r="B1" s="358"/>
      <c r="C1" s="359"/>
      <c r="D1" s="31"/>
    </row>
    <row r="2" spans="1:18" s="30" customFormat="1" ht="12.75" customHeight="1" x14ac:dyDescent="0.2">
      <c r="A2" s="310"/>
      <c r="B2" s="312" t="s">
        <v>91</v>
      </c>
      <c r="C2" s="122" t="s">
        <v>90</v>
      </c>
      <c r="D2" s="312" t="s">
        <v>89</v>
      </c>
      <c r="E2" s="312" t="s">
        <v>88</v>
      </c>
      <c r="F2" s="101"/>
      <c r="G2" s="289" t="s">
        <v>87</v>
      </c>
      <c r="H2" s="290"/>
      <c r="I2" s="290"/>
      <c r="J2" s="291"/>
      <c r="K2" s="129"/>
      <c r="L2" s="344"/>
      <c r="M2" s="345"/>
      <c r="N2" s="129"/>
      <c r="O2" s="344" t="s">
        <v>86</v>
      </c>
      <c r="P2" s="345"/>
      <c r="Q2" s="130"/>
      <c r="R2" s="312" t="s">
        <v>367</v>
      </c>
    </row>
    <row r="3" spans="1:18" s="30" customFormat="1" ht="67.5" customHeight="1" x14ac:dyDescent="0.2">
      <c r="A3" s="311"/>
      <c r="B3" s="313"/>
      <c r="C3" s="101" t="s">
        <v>85</v>
      </c>
      <c r="D3" s="313"/>
      <c r="E3" s="313"/>
      <c r="F3" s="102" t="s">
        <v>84</v>
      </c>
      <c r="G3" s="102" t="s">
        <v>83</v>
      </c>
      <c r="H3" s="102" t="s">
        <v>82</v>
      </c>
      <c r="I3" s="102" t="s">
        <v>81</v>
      </c>
      <c r="J3" s="102" t="s">
        <v>80</v>
      </c>
      <c r="K3" s="131" t="s">
        <v>79</v>
      </c>
      <c r="L3" s="346" t="s">
        <v>78</v>
      </c>
      <c r="M3" s="347"/>
      <c r="N3" s="131" t="s">
        <v>77</v>
      </c>
      <c r="O3" s="346"/>
      <c r="P3" s="347"/>
      <c r="Q3" s="132" t="s">
        <v>76</v>
      </c>
      <c r="R3" s="313"/>
    </row>
    <row r="4" spans="1:18" s="30" customFormat="1" x14ac:dyDescent="0.2">
      <c r="A4" s="122" t="s">
        <v>75</v>
      </c>
      <c r="B4" s="314"/>
      <c r="C4" s="121" t="s">
        <v>74</v>
      </c>
      <c r="D4" s="314"/>
      <c r="E4" s="314"/>
      <c r="F4" s="103"/>
      <c r="G4" s="103"/>
      <c r="H4" s="103"/>
      <c r="I4" s="103"/>
      <c r="J4" s="103"/>
      <c r="K4" s="133"/>
      <c r="L4" s="348"/>
      <c r="M4" s="349"/>
      <c r="N4" s="133"/>
      <c r="O4" s="348"/>
      <c r="P4" s="349"/>
      <c r="Q4" s="134"/>
      <c r="R4" s="314"/>
    </row>
    <row r="5" spans="1:18" s="24" customFormat="1" ht="12.75" customHeight="1" x14ac:dyDescent="0.2">
      <c r="A5" s="327" t="s">
        <v>334</v>
      </c>
      <c r="B5" s="41"/>
      <c r="C5" s="335" t="s">
        <v>333</v>
      </c>
      <c r="D5" s="105"/>
      <c r="E5" s="338">
        <v>154</v>
      </c>
      <c r="F5" s="341" t="s">
        <v>44</v>
      </c>
      <c r="G5" s="107">
        <v>8</v>
      </c>
      <c r="H5" s="107">
        <v>4</v>
      </c>
      <c r="I5" s="107" t="s">
        <v>43</v>
      </c>
      <c r="J5" s="107" t="s">
        <v>332</v>
      </c>
      <c r="K5" s="110"/>
      <c r="L5" s="99"/>
      <c r="M5" s="100"/>
      <c r="N5" s="115"/>
      <c r="O5" s="113"/>
      <c r="P5" s="124"/>
      <c r="Q5" s="25"/>
      <c r="R5" s="245" t="s">
        <v>381</v>
      </c>
    </row>
    <row r="6" spans="1:18" s="24" customFormat="1" ht="12.75" customHeight="1" x14ac:dyDescent="0.2">
      <c r="A6" s="327"/>
      <c r="B6" s="41"/>
      <c r="C6" s="337"/>
      <c r="D6" s="105"/>
      <c r="E6" s="340"/>
      <c r="F6" s="343"/>
      <c r="G6" s="107">
        <v>6</v>
      </c>
      <c r="H6" s="107">
        <v>4</v>
      </c>
      <c r="I6" s="107" t="s">
        <v>43</v>
      </c>
      <c r="J6" s="107" t="s">
        <v>331</v>
      </c>
      <c r="K6" s="110"/>
      <c r="L6" s="99"/>
      <c r="M6" s="100"/>
      <c r="N6" s="115"/>
      <c r="O6" s="113"/>
      <c r="P6" s="124"/>
      <c r="Q6" s="25"/>
      <c r="R6" s="245" t="s">
        <v>381</v>
      </c>
    </row>
    <row r="7" spans="1:18" s="24" customFormat="1" ht="12.75" customHeight="1" x14ac:dyDescent="0.2">
      <c r="A7" s="125" t="s">
        <v>330</v>
      </c>
      <c r="B7" s="41"/>
      <c r="C7" s="187" t="s">
        <v>329</v>
      </c>
      <c r="D7" s="105"/>
      <c r="E7" s="184">
        <v>113</v>
      </c>
      <c r="F7" s="186" t="s">
        <v>44</v>
      </c>
      <c r="G7" s="107">
        <v>12</v>
      </c>
      <c r="H7" s="107">
        <v>4</v>
      </c>
      <c r="I7" s="107" t="s">
        <v>43</v>
      </c>
      <c r="J7" s="107" t="s">
        <v>328</v>
      </c>
      <c r="K7" s="110"/>
      <c r="L7" s="99"/>
      <c r="M7" s="100"/>
      <c r="N7" s="115"/>
      <c r="O7" s="113"/>
      <c r="P7" s="124"/>
      <c r="Q7" s="25"/>
      <c r="R7" s="245" t="s">
        <v>381</v>
      </c>
    </row>
    <row r="8" spans="1:18" s="24" customFormat="1" ht="12.75" customHeight="1" x14ac:dyDescent="0.2">
      <c r="A8" s="327" t="s">
        <v>327</v>
      </c>
      <c r="B8" s="41"/>
      <c r="C8" s="335" t="s">
        <v>326</v>
      </c>
      <c r="D8" s="105"/>
      <c r="E8" s="338">
        <v>43</v>
      </c>
      <c r="F8" s="341" t="s">
        <v>54</v>
      </c>
      <c r="G8" s="107">
        <v>6</v>
      </c>
      <c r="H8" s="107">
        <v>6</v>
      </c>
      <c r="I8" s="107" t="s">
        <v>43</v>
      </c>
      <c r="J8" s="107" t="s">
        <v>325</v>
      </c>
      <c r="K8" s="110"/>
      <c r="L8" s="99"/>
      <c r="M8" s="100"/>
      <c r="N8" s="115"/>
      <c r="O8" s="113"/>
      <c r="P8" s="124"/>
      <c r="Q8" s="25"/>
      <c r="R8" s="245" t="s">
        <v>382</v>
      </c>
    </row>
    <row r="9" spans="1:18" s="24" customFormat="1" ht="12.75" customHeight="1" x14ac:dyDescent="0.2">
      <c r="A9" s="327"/>
      <c r="B9" s="41"/>
      <c r="C9" s="336"/>
      <c r="D9" s="105"/>
      <c r="E9" s="339"/>
      <c r="F9" s="342"/>
      <c r="G9" s="107">
        <v>12</v>
      </c>
      <c r="H9" s="107">
        <v>4</v>
      </c>
      <c r="I9" s="107" t="s">
        <v>43</v>
      </c>
      <c r="J9" s="107" t="s">
        <v>324</v>
      </c>
      <c r="K9" s="110"/>
      <c r="L9" s="99"/>
      <c r="M9" s="100"/>
      <c r="N9" s="115"/>
      <c r="O9" s="113"/>
      <c r="P9" s="124"/>
      <c r="Q9" s="25"/>
      <c r="R9" s="245" t="s">
        <v>382</v>
      </c>
    </row>
    <row r="10" spans="1:18" s="24" customFormat="1" ht="12.75" customHeight="1" x14ac:dyDescent="0.2">
      <c r="A10" s="327"/>
      <c r="B10" s="41"/>
      <c r="C10" s="337"/>
      <c r="D10" s="105"/>
      <c r="E10" s="340"/>
      <c r="F10" s="343"/>
      <c r="G10" s="107">
        <v>6</v>
      </c>
      <c r="H10" s="107">
        <v>4</v>
      </c>
      <c r="I10" s="107" t="s">
        <v>43</v>
      </c>
      <c r="J10" s="107" t="s">
        <v>323</v>
      </c>
      <c r="K10" s="110"/>
      <c r="L10" s="99"/>
      <c r="M10" s="100"/>
      <c r="N10" s="115"/>
      <c r="O10" s="113"/>
      <c r="P10" s="124"/>
      <c r="Q10" s="25"/>
      <c r="R10" s="245" t="s">
        <v>382</v>
      </c>
    </row>
    <row r="11" spans="1:18" s="24" customFormat="1" ht="12.75" customHeight="1" x14ac:dyDescent="0.2">
      <c r="A11" s="327" t="s">
        <v>322</v>
      </c>
      <c r="B11" s="41"/>
      <c r="C11" s="335" t="s">
        <v>321</v>
      </c>
      <c r="D11" s="105"/>
      <c r="E11" s="338">
        <v>32</v>
      </c>
      <c r="F11" s="341" t="s">
        <v>54</v>
      </c>
      <c r="G11" s="107">
        <v>12</v>
      </c>
      <c r="H11" s="107">
        <v>4</v>
      </c>
      <c r="I11" s="107" t="s">
        <v>43</v>
      </c>
      <c r="J11" s="107" t="s">
        <v>320</v>
      </c>
      <c r="K11" s="110"/>
      <c r="L11" s="99"/>
      <c r="M11" s="100"/>
      <c r="N11" s="115"/>
      <c r="O11" s="113"/>
      <c r="P11" s="124"/>
      <c r="Q11" s="25"/>
      <c r="R11" s="245" t="s">
        <v>384</v>
      </c>
    </row>
    <row r="12" spans="1:18" s="24" customFormat="1" ht="12.75" customHeight="1" x14ac:dyDescent="0.2">
      <c r="A12" s="327"/>
      <c r="B12" s="41"/>
      <c r="C12" s="336"/>
      <c r="D12" s="183"/>
      <c r="E12" s="339"/>
      <c r="F12" s="342"/>
      <c r="G12" s="186">
        <v>8</v>
      </c>
      <c r="H12" s="186">
        <v>4</v>
      </c>
      <c r="I12" s="186" t="s">
        <v>43</v>
      </c>
      <c r="J12" s="186" t="s">
        <v>319</v>
      </c>
      <c r="K12" s="189"/>
      <c r="L12" s="190"/>
      <c r="M12" s="191"/>
      <c r="N12" s="192"/>
      <c r="O12" s="193"/>
      <c r="P12" s="195"/>
      <c r="Q12" s="25"/>
      <c r="R12" s="245" t="s">
        <v>384</v>
      </c>
    </row>
    <row r="13" spans="1:18" s="24" customFormat="1" ht="12.75" customHeight="1" x14ac:dyDescent="0.2">
      <c r="A13" s="327"/>
      <c r="B13" s="41"/>
      <c r="C13" s="336"/>
      <c r="D13" s="105"/>
      <c r="E13" s="339"/>
      <c r="F13" s="342"/>
      <c r="G13" s="107">
        <v>8</v>
      </c>
      <c r="H13" s="107">
        <v>4</v>
      </c>
      <c r="I13" s="107" t="s">
        <v>43</v>
      </c>
      <c r="J13" s="107" t="s">
        <v>318</v>
      </c>
      <c r="K13" s="110"/>
      <c r="L13" s="99"/>
      <c r="M13" s="100"/>
      <c r="N13" s="115"/>
      <c r="O13" s="113"/>
      <c r="P13" s="124"/>
      <c r="Q13" s="25"/>
      <c r="R13" s="245" t="s">
        <v>384</v>
      </c>
    </row>
    <row r="14" spans="1:18" s="24" customFormat="1" ht="12.75" customHeight="1" x14ac:dyDescent="0.2">
      <c r="A14" s="327"/>
      <c r="B14" s="41"/>
      <c r="C14" s="336"/>
      <c r="D14" s="105"/>
      <c r="E14" s="339"/>
      <c r="F14" s="342"/>
      <c r="G14" s="107">
        <v>6</v>
      </c>
      <c r="H14" s="107">
        <v>4</v>
      </c>
      <c r="I14" s="107" t="s">
        <v>43</v>
      </c>
      <c r="J14" s="107" t="s">
        <v>317</v>
      </c>
      <c r="K14" s="110"/>
      <c r="L14" s="99"/>
      <c r="M14" s="100"/>
      <c r="N14" s="115"/>
      <c r="O14" s="113"/>
      <c r="P14" s="124"/>
      <c r="Q14" s="25"/>
      <c r="R14" s="245" t="s">
        <v>384</v>
      </c>
    </row>
    <row r="15" spans="1:18" s="24" customFormat="1" ht="12.75" customHeight="1" x14ac:dyDescent="0.2">
      <c r="A15" s="327"/>
      <c r="B15" s="41"/>
      <c r="C15" s="336"/>
      <c r="D15" s="105"/>
      <c r="E15" s="339"/>
      <c r="F15" s="342"/>
      <c r="G15" s="107">
        <v>8</v>
      </c>
      <c r="H15" s="107">
        <v>4</v>
      </c>
      <c r="I15" s="107" t="s">
        <v>43</v>
      </c>
      <c r="J15" s="107" t="s">
        <v>316</v>
      </c>
      <c r="K15" s="110"/>
      <c r="L15" s="99"/>
      <c r="M15" s="100"/>
      <c r="N15" s="115"/>
      <c r="O15" s="113"/>
      <c r="P15" s="124"/>
      <c r="Q15" s="25"/>
      <c r="R15" s="245" t="s">
        <v>384</v>
      </c>
    </row>
    <row r="16" spans="1:18" s="24" customFormat="1" ht="12.75" customHeight="1" x14ac:dyDescent="0.2">
      <c r="A16" s="327"/>
      <c r="B16" s="41"/>
      <c r="C16" s="336"/>
      <c r="D16" s="105"/>
      <c r="E16" s="339"/>
      <c r="F16" s="342"/>
      <c r="G16" s="107">
        <v>10</v>
      </c>
      <c r="H16" s="107">
        <v>4</v>
      </c>
      <c r="I16" s="107" t="s">
        <v>43</v>
      </c>
      <c r="J16" s="107" t="s">
        <v>315</v>
      </c>
      <c r="K16" s="110"/>
      <c r="L16" s="99"/>
      <c r="M16" s="100"/>
      <c r="N16" s="115"/>
      <c r="O16" s="113"/>
      <c r="P16" s="124"/>
      <c r="Q16" s="25"/>
      <c r="R16" s="245" t="s">
        <v>384</v>
      </c>
    </row>
    <row r="17" spans="1:18" s="24" customFormat="1" ht="12.75" customHeight="1" x14ac:dyDescent="0.2">
      <c r="A17" s="327"/>
      <c r="B17" s="41"/>
      <c r="C17" s="336"/>
      <c r="D17" s="105"/>
      <c r="E17" s="339"/>
      <c r="F17" s="342"/>
      <c r="G17" s="107">
        <v>10</v>
      </c>
      <c r="H17" s="107">
        <v>4</v>
      </c>
      <c r="I17" s="107" t="s">
        <v>43</v>
      </c>
      <c r="J17" s="107" t="s">
        <v>314</v>
      </c>
      <c r="K17" s="110"/>
      <c r="L17" s="99"/>
      <c r="M17" s="100"/>
      <c r="N17" s="115"/>
      <c r="O17" s="113"/>
      <c r="P17" s="124"/>
      <c r="Q17" s="25"/>
      <c r="R17" s="245" t="s">
        <v>384</v>
      </c>
    </row>
    <row r="18" spans="1:18" s="236" customFormat="1" ht="12.75" customHeight="1" x14ac:dyDescent="0.2">
      <c r="A18" s="327"/>
      <c r="B18" s="227"/>
      <c r="C18" s="336"/>
      <c r="D18" s="228"/>
      <c r="E18" s="339"/>
      <c r="F18" s="342"/>
      <c r="G18" s="186">
        <v>10</v>
      </c>
      <c r="H18" s="186">
        <v>4</v>
      </c>
      <c r="I18" s="186" t="s">
        <v>43</v>
      </c>
      <c r="J18" s="186" t="s">
        <v>313</v>
      </c>
      <c r="K18" s="229"/>
      <c r="L18" s="230"/>
      <c r="M18" s="231"/>
      <c r="N18" s="232"/>
      <c r="O18" s="233"/>
      <c r="P18" s="234"/>
      <c r="Q18" s="235"/>
      <c r="R18" s="245" t="s">
        <v>384</v>
      </c>
    </row>
    <row r="19" spans="1:18" s="24" customFormat="1" ht="12.75" customHeight="1" x14ac:dyDescent="0.2">
      <c r="A19" s="327"/>
      <c r="B19" s="41"/>
      <c r="C19" s="337"/>
      <c r="D19" s="105"/>
      <c r="E19" s="340"/>
      <c r="F19" s="343"/>
      <c r="G19" s="107">
        <v>10</v>
      </c>
      <c r="H19" s="107">
        <v>4</v>
      </c>
      <c r="I19" s="107" t="s">
        <v>43</v>
      </c>
      <c r="J19" s="107" t="s">
        <v>312</v>
      </c>
      <c r="K19" s="110"/>
      <c r="L19" s="99"/>
      <c r="M19" s="100"/>
      <c r="N19" s="115"/>
      <c r="O19" s="113"/>
      <c r="P19" s="124"/>
      <c r="Q19" s="25"/>
      <c r="R19" s="245" t="s">
        <v>384</v>
      </c>
    </row>
    <row r="20" spans="1:18" s="24" customFormat="1" ht="12.75" customHeight="1" x14ac:dyDescent="0.2">
      <c r="A20" s="125" t="s">
        <v>309</v>
      </c>
      <c r="B20" s="41"/>
      <c r="C20" s="187" t="s">
        <v>308</v>
      </c>
      <c r="D20" s="105"/>
      <c r="E20" s="184">
        <v>30</v>
      </c>
      <c r="F20" s="186" t="s">
        <v>54</v>
      </c>
      <c r="G20" s="107">
        <v>22</v>
      </c>
      <c r="H20" s="107">
        <v>4</v>
      </c>
      <c r="I20" s="107" t="s">
        <v>43</v>
      </c>
      <c r="J20" s="107" t="s">
        <v>307</v>
      </c>
      <c r="K20" s="110"/>
      <c r="L20" s="99"/>
      <c r="M20" s="100"/>
      <c r="N20" s="115"/>
      <c r="O20" s="113"/>
      <c r="P20" s="124"/>
      <c r="Q20" s="25"/>
      <c r="R20" s="245" t="s">
        <v>383</v>
      </c>
    </row>
    <row r="21" spans="1:18" s="24" customFormat="1" ht="12.75" customHeight="1" x14ac:dyDescent="0.2">
      <c r="A21" s="125" t="s">
        <v>306</v>
      </c>
      <c r="B21" s="106"/>
      <c r="C21" s="187" t="s">
        <v>305</v>
      </c>
      <c r="D21" s="28"/>
      <c r="E21" s="184">
        <v>37</v>
      </c>
      <c r="F21" s="186" t="s">
        <v>54</v>
      </c>
      <c r="G21" s="107">
        <v>6</v>
      </c>
      <c r="H21" s="107">
        <v>6</v>
      </c>
      <c r="I21" s="107" t="s">
        <v>43</v>
      </c>
      <c r="J21" s="107" t="s">
        <v>304</v>
      </c>
      <c r="K21" s="110"/>
      <c r="L21" s="99"/>
      <c r="M21" s="100"/>
      <c r="N21" s="115"/>
      <c r="O21" s="113"/>
      <c r="P21" s="124"/>
      <c r="Q21" s="25"/>
      <c r="R21" s="245" t="s">
        <v>383</v>
      </c>
    </row>
    <row r="22" spans="1:18" s="24" customFormat="1" ht="12.75" customHeight="1" x14ac:dyDescent="0.2">
      <c r="A22" s="327" t="s">
        <v>94</v>
      </c>
      <c r="B22" s="106"/>
      <c r="C22" s="334" t="s">
        <v>359</v>
      </c>
      <c r="D22" s="28"/>
      <c r="E22" s="327">
        <v>15</v>
      </c>
      <c r="F22" s="324" t="s">
        <v>54</v>
      </c>
      <c r="G22" s="107">
        <v>6</v>
      </c>
      <c r="H22" s="107">
        <v>6</v>
      </c>
      <c r="I22" s="107" t="s">
        <v>43</v>
      </c>
      <c r="J22" s="107" t="s">
        <v>303</v>
      </c>
      <c r="K22" s="110"/>
      <c r="L22" s="99"/>
      <c r="M22" s="100"/>
      <c r="N22" s="115"/>
      <c r="O22" s="113"/>
      <c r="P22" s="124"/>
      <c r="Q22" s="25"/>
      <c r="R22" s="245" t="s">
        <v>383</v>
      </c>
    </row>
    <row r="23" spans="1:18" s="24" customFormat="1" ht="12.75" customHeight="1" x14ac:dyDescent="0.2">
      <c r="A23" s="327"/>
      <c r="B23" s="41"/>
      <c r="C23" s="334"/>
      <c r="D23" s="105"/>
      <c r="E23" s="327"/>
      <c r="F23" s="324"/>
      <c r="G23" s="107">
        <v>6</v>
      </c>
      <c r="H23" s="107">
        <v>6</v>
      </c>
      <c r="I23" s="107" t="s">
        <v>43</v>
      </c>
      <c r="J23" s="107" t="s">
        <v>310</v>
      </c>
      <c r="K23" s="110"/>
      <c r="L23" s="99"/>
      <c r="M23" s="100"/>
      <c r="N23" s="115"/>
      <c r="O23" s="113"/>
      <c r="P23" s="124"/>
      <c r="Q23" s="25"/>
      <c r="R23" s="245" t="s">
        <v>383</v>
      </c>
    </row>
    <row r="24" spans="1:18" s="24" customFormat="1" ht="12.75" customHeight="1" x14ac:dyDescent="0.2">
      <c r="A24" s="327"/>
      <c r="B24" s="41"/>
      <c r="C24" s="334"/>
      <c r="D24" s="105"/>
      <c r="E24" s="327"/>
      <c r="F24" s="324"/>
      <c r="G24" s="107">
        <v>12</v>
      </c>
      <c r="H24" s="107">
        <v>6</v>
      </c>
      <c r="I24" s="107" t="s">
        <v>43</v>
      </c>
      <c r="J24" s="107" t="s">
        <v>311</v>
      </c>
      <c r="K24" s="110"/>
      <c r="L24" s="99"/>
      <c r="M24" s="100"/>
      <c r="N24" s="115"/>
      <c r="O24" s="113"/>
      <c r="P24" s="124"/>
      <c r="Q24" s="25"/>
      <c r="R24" s="245" t="s">
        <v>383</v>
      </c>
    </row>
    <row r="25" spans="1:18" s="24" customFormat="1" ht="12.75" customHeight="1" x14ac:dyDescent="0.2">
      <c r="A25" s="125" t="s">
        <v>302</v>
      </c>
      <c r="B25" s="106"/>
      <c r="C25" s="187" t="s">
        <v>301</v>
      </c>
      <c r="D25" s="28"/>
      <c r="E25" s="184">
        <v>31</v>
      </c>
      <c r="F25" s="186" t="s">
        <v>54</v>
      </c>
      <c r="G25" s="107">
        <v>6</v>
      </c>
      <c r="H25" s="107">
        <v>4</v>
      </c>
      <c r="I25" s="107" t="s">
        <v>43</v>
      </c>
      <c r="J25" s="107" t="s">
        <v>300</v>
      </c>
      <c r="K25" s="110"/>
      <c r="L25" s="99"/>
      <c r="M25" s="100"/>
      <c r="N25" s="115"/>
      <c r="O25" s="113"/>
      <c r="P25" s="124"/>
      <c r="Q25" s="25"/>
      <c r="R25" s="245" t="s">
        <v>380</v>
      </c>
    </row>
    <row r="26" spans="1:18" s="24" customFormat="1" ht="12.75" customHeight="1" x14ac:dyDescent="0.2">
      <c r="A26" s="327" t="s">
        <v>299</v>
      </c>
      <c r="B26" s="106"/>
      <c r="C26" s="335" t="s">
        <v>298</v>
      </c>
      <c r="D26" s="28"/>
      <c r="E26" s="338">
        <v>64</v>
      </c>
      <c r="F26" s="341" t="s">
        <v>54</v>
      </c>
      <c r="G26" s="186">
        <v>6</v>
      </c>
      <c r="H26" s="186">
        <v>4</v>
      </c>
      <c r="I26" s="186" t="s">
        <v>43</v>
      </c>
      <c r="J26" s="186" t="s">
        <v>297</v>
      </c>
      <c r="K26" s="110"/>
      <c r="L26" s="99"/>
      <c r="M26" s="100"/>
      <c r="N26" s="115"/>
      <c r="O26" s="113"/>
      <c r="P26" s="124"/>
      <c r="Q26" s="25"/>
      <c r="R26" s="245" t="s">
        <v>385</v>
      </c>
    </row>
    <row r="27" spans="1:18" s="24" customFormat="1" ht="12.75" customHeight="1" x14ac:dyDescent="0.2">
      <c r="A27" s="327"/>
      <c r="B27" s="106"/>
      <c r="C27" s="337"/>
      <c r="D27" s="28"/>
      <c r="E27" s="340"/>
      <c r="F27" s="343"/>
      <c r="G27" s="186">
        <v>10</v>
      </c>
      <c r="H27" s="186">
        <v>4</v>
      </c>
      <c r="I27" s="186" t="s">
        <v>43</v>
      </c>
      <c r="J27" s="186" t="s">
        <v>296</v>
      </c>
      <c r="K27" s="110"/>
      <c r="L27" s="99"/>
      <c r="M27" s="100"/>
      <c r="N27" s="115"/>
      <c r="O27" s="113"/>
      <c r="P27" s="124"/>
      <c r="Q27" s="25"/>
      <c r="R27" s="245" t="s">
        <v>385</v>
      </c>
    </row>
    <row r="28" spans="1:18" s="24" customFormat="1" ht="12.75" customHeight="1" x14ac:dyDescent="0.2">
      <c r="A28" s="16"/>
      <c r="B28" s="16"/>
      <c r="C28" s="207"/>
      <c r="D28" s="16"/>
      <c r="E28" s="16"/>
      <c r="F28" s="17"/>
      <c r="G28" s="16"/>
      <c r="H28" s="16"/>
      <c r="I28" s="16"/>
      <c r="J28" s="16"/>
      <c r="K28" s="110"/>
      <c r="L28" s="99"/>
      <c r="M28" s="100"/>
      <c r="N28" s="115"/>
      <c r="O28" s="113"/>
      <c r="P28" s="124"/>
      <c r="Q28" s="25"/>
    </row>
    <row r="29" spans="1:18" s="24" customFormat="1" ht="17.25" customHeight="1" x14ac:dyDescent="0.3">
      <c r="A29" s="16"/>
      <c r="B29" s="16"/>
      <c r="C29" s="16"/>
      <c r="D29" s="16"/>
      <c r="E29" s="16"/>
      <c r="F29" s="26" t="s">
        <v>42</v>
      </c>
      <c r="G29" s="32">
        <f>SUM(G5:G27)</f>
        <v>206</v>
      </c>
      <c r="H29" s="32"/>
      <c r="I29" s="16"/>
      <c r="J29" s="16"/>
      <c r="K29" s="110"/>
      <c r="L29" s="99"/>
      <c r="M29" s="100"/>
      <c r="N29" s="115"/>
      <c r="O29" s="113"/>
      <c r="P29" s="124"/>
      <c r="Q29" s="25"/>
    </row>
    <row r="30" spans="1:18" s="24" customFormat="1" ht="12.75" customHeight="1" x14ac:dyDescent="0.2">
      <c r="A30" s="16"/>
      <c r="B30" s="16"/>
      <c r="C30" s="16"/>
      <c r="D30" s="16"/>
      <c r="E30" s="16"/>
      <c r="F30" s="17"/>
      <c r="G30" s="16"/>
      <c r="H30" s="16"/>
      <c r="I30" s="16"/>
      <c r="J30" s="16"/>
      <c r="K30" s="110"/>
      <c r="L30" s="99"/>
      <c r="M30" s="100"/>
      <c r="N30" s="115"/>
      <c r="O30" s="113"/>
      <c r="P30" s="124"/>
      <c r="Q30" s="25"/>
    </row>
    <row r="31" spans="1:18" s="24" customFormat="1" ht="12.75" customHeight="1" x14ac:dyDescent="0.2">
      <c r="A31" s="16"/>
      <c r="B31" s="16"/>
      <c r="C31" s="16"/>
      <c r="D31" s="16"/>
      <c r="E31" s="16"/>
      <c r="F31" s="17"/>
      <c r="G31" s="16"/>
      <c r="H31" s="16"/>
      <c r="I31" s="16"/>
      <c r="J31" s="16"/>
      <c r="K31" s="110"/>
      <c r="L31" s="99"/>
      <c r="M31" s="100"/>
      <c r="N31" s="115"/>
      <c r="O31" s="113"/>
      <c r="P31" s="124"/>
      <c r="Q31" s="25"/>
    </row>
    <row r="32" spans="1:18" s="24" customFormat="1" ht="12.75" customHeight="1" x14ac:dyDescent="0.2">
      <c r="A32" s="16"/>
      <c r="B32" s="16"/>
      <c r="C32" s="16"/>
      <c r="D32" s="16"/>
      <c r="E32" s="16"/>
      <c r="F32" s="17"/>
      <c r="G32" s="16"/>
      <c r="H32" s="16"/>
      <c r="I32" s="16"/>
      <c r="J32" s="16"/>
      <c r="K32" s="110"/>
      <c r="L32" s="99"/>
      <c r="M32" s="100"/>
      <c r="N32" s="115"/>
      <c r="O32" s="113"/>
      <c r="P32" s="124"/>
      <c r="Q32" s="25"/>
    </row>
    <row r="33" spans="1:20" s="24" customFormat="1" ht="12.75" customHeight="1" x14ac:dyDescent="0.2">
      <c r="A33" s="16"/>
      <c r="B33" s="16"/>
      <c r="C33" s="16"/>
      <c r="D33" s="16"/>
      <c r="E33" s="16"/>
      <c r="F33" s="17"/>
      <c r="G33" s="16"/>
      <c r="H33" s="16"/>
      <c r="I33" s="16"/>
      <c r="J33" s="16"/>
      <c r="K33" s="110"/>
      <c r="L33" s="99"/>
      <c r="M33" s="100"/>
      <c r="N33" s="115"/>
      <c r="O33" s="113"/>
      <c r="P33" s="124"/>
      <c r="Q33" s="25"/>
    </row>
    <row r="34" spans="1:20" s="24" customFormat="1" ht="12.75" customHeight="1" x14ac:dyDescent="0.2">
      <c r="A34" s="16"/>
      <c r="B34" s="16"/>
      <c r="C34" s="16"/>
      <c r="D34" s="16"/>
      <c r="E34" s="16"/>
      <c r="F34" s="17"/>
      <c r="G34" s="16"/>
      <c r="H34" s="16"/>
      <c r="I34" s="16"/>
      <c r="J34" s="16"/>
      <c r="K34" s="110"/>
      <c r="L34" s="99"/>
      <c r="M34" s="100"/>
      <c r="N34" s="115"/>
      <c r="O34" s="113"/>
      <c r="P34" s="124"/>
      <c r="Q34" s="25"/>
    </row>
    <row r="35" spans="1:20" hidden="1" x14ac:dyDescent="0.2">
      <c r="F35" s="16"/>
      <c r="K35" s="107" t="s">
        <v>41</v>
      </c>
      <c r="L35" s="356" t="s">
        <v>40</v>
      </c>
      <c r="M35" s="357"/>
      <c r="N35" s="23">
        <v>1632000</v>
      </c>
      <c r="O35" s="350">
        <v>27.2</v>
      </c>
      <c r="P35" s="351"/>
      <c r="Q35" s="94">
        <v>27.2</v>
      </c>
    </row>
    <row r="36" spans="1:20" hidden="1" x14ac:dyDescent="0.2">
      <c r="F36" s="16"/>
      <c r="K36" s="107" t="s">
        <v>41</v>
      </c>
      <c r="L36" s="352" t="s">
        <v>40</v>
      </c>
      <c r="M36" s="353"/>
      <c r="N36" s="21">
        <v>2108400</v>
      </c>
      <c r="O36" s="354">
        <v>35.14</v>
      </c>
      <c r="P36" s="355"/>
      <c r="Q36" s="95">
        <v>35.14</v>
      </c>
    </row>
    <row r="37" spans="1:20" x14ac:dyDescent="0.2">
      <c r="F37" s="16"/>
      <c r="Q37" s="20">
        <f>SUM(Q5:Q36)</f>
        <v>62.34</v>
      </c>
      <c r="R37" s="19"/>
      <c r="S37" s="19"/>
      <c r="T37" s="19"/>
    </row>
    <row r="38" spans="1:20" x14ac:dyDescent="0.2">
      <c r="F38" s="16"/>
      <c r="R38" s="18"/>
      <c r="S38" s="18"/>
      <c r="T38" s="18"/>
    </row>
  </sheetData>
  <mergeCells count="35">
    <mergeCell ref="A1:C1"/>
    <mergeCell ref="A2:A3"/>
    <mergeCell ref="B2:B4"/>
    <mergeCell ref="D2:D4"/>
    <mergeCell ref="E2:E4"/>
    <mergeCell ref="O35:P35"/>
    <mergeCell ref="L36:M36"/>
    <mergeCell ref="O36:P36"/>
    <mergeCell ref="A5:A6"/>
    <mergeCell ref="C5:C6"/>
    <mergeCell ref="E5:E6"/>
    <mergeCell ref="F5:F6"/>
    <mergeCell ref="A8:A10"/>
    <mergeCell ref="C8:C10"/>
    <mergeCell ref="E8:E10"/>
    <mergeCell ref="L35:M35"/>
    <mergeCell ref="F8:F10"/>
    <mergeCell ref="A26:A27"/>
    <mergeCell ref="C26:C27"/>
    <mergeCell ref="E26:E27"/>
    <mergeCell ref="F26:F27"/>
    <mergeCell ref="A22:A24"/>
    <mergeCell ref="E22:E24"/>
    <mergeCell ref="F22:F24"/>
    <mergeCell ref="C22:C24"/>
    <mergeCell ref="R2:R4"/>
    <mergeCell ref="A11:A19"/>
    <mergeCell ref="C11:C19"/>
    <mergeCell ref="E11:E19"/>
    <mergeCell ref="F11:F19"/>
    <mergeCell ref="L2:M2"/>
    <mergeCell ref="O2:P4"/>
    <mergeCell ref="L3:M3"/>
    <mergeCell ref="L4:M4"/>
    <mergeCell ref="G2:J2"/>
  </mergeCells>
  <printOptions horizontalCentered="1" verticalCentered="1"/>
  <pageMargins left="0.23622047244094491" right="0.23622047244094491" top="0.78740157480314965" bottom="0.78740157480314965" header="0.31496062992125984" footer="0.31496062992125984"/>
  <pageSetup paperSize="9" scale="89" orientation="landscape" horizontalDpi="300" verticalDpi="300" r:id="rId1"/>
  <headerFooter alignWithMargins="0">
    <oddHeader>&amp;L&amp;G&amp;C&amp;"-,Negrita"&amp;18&amp;A&amp;R&amp;G</oddHeader>
    <oddFooter>&amp;C&amp;"-,Negrita"&amp;10Ministerio de Obras Públicas y Comunicaciones&amp;"-,Normal"
Oliva y Alberdi Nº 411, C.P. Nº 1221, Asunción, Paraguay
Tel: 595 (021) 4149000&amp;R&amp;10Dirección de Caminos Vecinales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5"/>
  <sheetViews>
    <sheetView view="pageBreakPreview" zoomScaleNormal="140" zoomScaleSheetLayoutView="100" workbookViewId="0">
      <selection activeCell="J27" sqref="J27"/>
    </sheetView>
  </sheetViews>
  <sheetFormatPr defaultColWidth="11.42578125" defaultRowHeight="12.75" x14ac:dyDescent="0.2"/>
  <cols>
    <col min="1" max="1" width="14" style="16" customWidth="1"/>
    <col min="2" max="2" width="14" style="16" hidden="1" customWidth="1"/>
    <col min="3" max="3" width="52.85546875" style="16" customWidth="1"/>
    <col min="4" max="4" width="22.5703125" style="16" hidden="1" customWidth="1"/>
    <col min="5" max="5" width="13.28515625" style="16" hidden="1" customWidth="1"/>
    <col min="6" max="6" width="9.7109375" style="16" customWidth="1"/>
    <col min="7" max="7" width="9.5703125" style="16" customWidth="1"/>
    <col min="8" max="8" width="15.7109375" style="16" customWidth="1"/>
    <col min="9" max="10" width="9.5703125" style="16" customWidth="1"/>
    <col min="11" max="11" width="23.85546875" style="16" customWidth="1"/>
    <col min="12" max="12" width="17.5703125" style="16" hidden="1" customWidth="1"/>
    <col min="13" max="14" width="12.28515625" style="16" hidden="1" customWidth="1"/>
    <col min="15" max="15" width="14" style="16" hidden="1" customWidth="1"/>
    <col min="16" max="17" width="0" style="16" hidden="1" customWidth="1"/>
    <col min="18" max="18" width="18.42578125" style="16" hidden="1" customWidth="1"/>
    <col min="19" max="19" width="18.7109375" style="16" bestFit="1" customWidth="1"/>
    <col min="20" max="16384" width="11.42578125" style="16"/>
  </cols>
  <sheetData>
    <row r="1" spans="1:19" ht="16.5" x14ac:dyDescent="0.3">
      <c r="A1" s="358" t="s">
        <v>129</v>
      </c>
      <c r="B1" s="358"/>
      <c r="C1" s="359"/>
      <c r="D1" s="31"/>
      <c r="E1" s="31"/>
    </row>
    <row r="2" spans="1:19" s="30" customFormat="1" ht="12.75" customHeight="1" x14ac:dyDescent="0.2">
      <c r="A2" s="310" t="s">
        <v>96</v>
      </c>
      <c r="B2" s="312" t="s">
        <v>91</v>
      </c>
      <c r="C2" s="122" t="s">
        <v>90</v>
      </c>
      <c r="D2" s="312" t="s">
        <v>89</v>
      </c>
      <c r="E2" s="101"/>
      <c r="F2" s="312" t="s">
        <v>88</v>
      </c>
      <c r="G2" s="101"/>
      <c r="H2" s="289" t="s">
        <v>87</v>
      </c>
      <c r="I2" s="290"/>
      <c r="J2" s="290"/>
      <c r="K2" s="291"/>
      <c r="L2" s="129"/>
      <c r="M2" s="344"/>
      <c r="N2" s="345"/>
      <c r="O2" s="129"/>
      <c r="P2" s="344" t="s">
        <v>86</v>
      </c>
      <c r="Q2" s="345"/>
      <c r="R2" s="130"/>
      <c r="S2" s="312" t="s">
        <v>367</v>
      </c>
    </row>
    <row r="3" spans="1:19" s="30" customFormat="1" ht="76.5" customHeight="1" x14ac:dyDescent="0.2">
      <c r="A3" s="311"/>
      <c r="B3" s="313"/>
      <c r="C3" s="101" t="s">
        <v>85</v>
      </c>
      <c r="D3" s="313"/>
      <c r="E3" s="102" t="s">
        <v>128</v>
      </c>
      <c r="F3" s="313"/>
      <c r="G3" s="102" t="s">
        <v>84</v>
      </c>
      <c r="H3" s="102" t="s">
        <v>83</v>
      </c>
      <c r="I3" s="102" t="s">
        <v>82</v>
      </c>
      <c r="J3" s="102" t="s">
        <v>81</v>
      </c>
      <c r="K3" s="102" t="s">
        <v>80</v>
      </c>
      <c r="L3" s="131" t="s">
        <v>79</v>
      </c>
      <c r="M3" s="346" t="s">
        <v>78</v>
      </c>
      <c r="N3" s="347"/>
      <c r="O3" s="131" t="s">
        <v>77</v>
      </c>
      <c r="P3" s="346"/>
      <c r="Q3" s="347"/>
      <c r="R3" s="132" t="s">
        <v>76</v>
      </c>
      <c r="S3" s="313"/>
    </row>
    <row r="4" spans="1:19" s="30" customFormat="1" x14ac:dyDescent="0.2">
      <c r="A4" s="122" t="s">
        <v>75</v>
      </c>
      <c r="B4" s="314"/>
      <c r="C4" s="121" t="s">
        <v>74</v>
      </c>
      <c r="D4" s="314"/>
      <c r="E4" s="103"/>
      <c r="F4" s="314"/>
      <c r="G4" s="103"/>
      <c r="H4" s="103"/>
      <c r="I4" s="103"/>
      <c r="J4" s="103"/>
      <c r="K4" s="103"/>
      <c r="L4" s="133"/>
      <c r="M4" s="348"/>
      <c r="N4" s="349"/>
      <c r="O4" s="133"/>
      <c r="P4" s="348"/>
      <c r="Q4" s="349"/>
      <c r="R4" s="134"/>
      <c r="S4" s="314"/>
    </row>
    <row r="5" spans="1:19" s="30" customFormat="1" x14ac:dyDescent="0.2">
      <c r="A5" s="338" t="s">
        <v>127</v>
      </c>
      <c r="B5" s="106" t="s">
        <v>73</v>
      </c>
      <c r="C5" s="365" t="s">
        <v>126</v>
      </c>
      <c r="D5" s="108" t="s">
        <v>71</v>
      </c>
      <c r="E5" s="108"/>
      <c r="F5" s="338" t="s">
        <v>94</v>
      </c>
      <c r="G5" s="341" t="s">
        <v>117</v>
      </c>
      <c r="H5" s="107">
        <v>6</v>
      </c>
      <c r="I5" s="107">
        <v>4</v>
      </c>
      <c r="J5" s="107" t="s">
        <v>43</v>
      </c>
      <c r="K5" s="107" t="s">
        <v>125</v>
      </c>
      <c r="L5" s="133"/>
      <c r="M5" s="134"/>
      <c r="N5" s="137"/>
      <c r="O5" s="133"/>
      <c r="P5" s="134"/>
      <c r="Q5" s="137"/>
      <c r="R5" s="134"/>
      <c r="S5" s="246" t="s">
        <v>388</v>
      </c>
    </row>
    <row r="6" spans="1:19" s="30" customFormat="1" x14ac:dyDescent="0.2">
      <c r="A6" s="339"/>
      <c r="B6" s="133"/>
      <c r="C6" s="366"/>
      <c r="D6" s="133"/>
      <c r="E6" s="133"/>
      <c r="F6" s="339"/>
      <c r="G6" s="342"/>
      <c r="H6" s="107">
        <v>30</v>
      </c>
      <c r="I6" s="107">
        <v>4</v>
      </c>
      <c r="J6" s="107" t="s">
        <v>43</v>
      </c>
      <c r="K6" s="249" t="s">
        <v>432</v>
      </c>
      <c r="L6" s="133"/>
      <c r="M6" s="134"/>
      <c r="N6" s="137"/>
      <c r="O6" s="133"/>
      <c r="P6" s="134"/>
      <c r="Q6" s="137"/>
      <c r="R6" s="134"/>
      <c r="S6" s="30" t="s">
        <v>388</v>
      </c>
    </row>
    <row r="7" spans="1:19" s="30" customFormat="1" x14ac:dyDescent="0.2">
      <c r="A7" s="340"/>
      <c r="B7" s="133"/>
      <c r="C7" s="367"/>
      <c r="D7" s="133"/>
      <c r="E7" s="133"/>
      <c r="F7" s="340"/>
      <c r="G7" s="343"/>
      <c r="H7" s="249">
        <v>6</v>
      </c>
      <c r="I7" s="249">
        <v>4</v>
      </c>
      <c r="J7" s="249" t="s">
        <v>43</v>
      </c>
      <c r="K7" s="249" t="s">
        <v>431</v>
      </c>
      <c r="L7" s="131"/>
      <c r="M7" s="251"/>
      <c r="N7" s="252"/>
      <c r="O7" s="131"/>
      <c r="P7" s="251"/>
      <c r="Q7" s="269"/>
      <c r="R7" s="250"/>
      <c r="S7" s="30" t="s">
        <v>388</v>
      </c>
    </row>
    <row r="8" spans="1:19" s="35" customFormat="1" ht="12.75" customHeight="1" x14ac:dyDescent="0.2">
      <c r="A8" s="106" t="s">
        <v>351</v>
      </c>
      <c r="B8" s="106"/>
      <c r="C8" s="188" t="s">
        <v>350</v>
      </c>
      <c r="D8" s="108"/>
      <c r="E8" s="105"/>
      <c r="F8" s="106"/>
      <c r="G8" s="107" t="s">
        <v>117</v>
      </c>
      <c r="H8" s="186">
        <v>18</v>
      </c>
      <c r="I8" s="186">
        <v>4</v>
      </c>
      <c r="J8" s="186" t="s">
        <v>43</v>
      </c>
      <c r="K8" s="186" t="s">
        <v>352</v>
      </c>
      <c r="L8" s="110"/>
      <c r="M8" s="135"/>
      <c r="N8" s="100"/>
      <c r="O8" s="118"/>
      <c r="P8" s="135"/>
      <c r="Q8" s="136"/>
      <c r="R8" s="117"/>
      <c r="S8" s="247" t="s">
        <v>387</v>
      </c>
    </row>
    <row r="9" spans="1:19" s="35" customFormat="1" ht="12.75" customHeight="1" x14ac:dyDescent="0.2">
      <c r="A9" s="106" t="s">
        <v>124</v>
      </c>
      <c r="B9" s="106"/>
      <c r="C9" s="208" t="s">
        <v>123</v>
      </c>
      <c r="D9" s="108"/>
      <c r="E9" s="105"/>
      <c r="F9" s="106" t="s">
        <v>94</v>
      </c>
      <c r="G9" s="107" t="s">
        <v>117</v>
      </c>
      <c r="H9" s="107">
        <v>24</v>
      </c>
      <c r="I9" s="107">
        <v>4</v>
      </c>
      <c r="J9" s="107" t="s">
        <v>43</v>
      </c>
      <c r="K9" s="107" t="s">
        <v>122</v>
      </c>
      <c r="L9" s="93"/>
      <c r="M9" s="43"/>
      <c r="N9" s="98"/>
      <c r="O9" s="116"/>
      <c r="P9" s="43"/>
      <c r="Q9" s="112"/>
      <c r="R9" s="114"/>
      <c r="S9" s="247" t="s">
        <v>387</v>
      </c>
    </row>
    <row r="10" spans="1:19" s="35" customFormat="1" ht="12.75" customHeight="1" x14ac:dyDescent="0.2">
      <c r="A10" s="327" t="s">
        <v>121</v>
      </c>
      <c r="B10" s="106"/>
      <c r="C10" s="362" t="s">
        <v>120</v>
      </c>
      <c r="D10" s="108"/>
      <c r="E10" s="108"/>
      <c r="F10" s="327" t="s">
        <v>94</v>
      </c>
      <c r="G10" s="324" t="s">
        <v>117</v>
      </c>
      <c r="H10" s="107">
        <v>6</v>
      </c>
      <c r="I10" s="107">
        <v>6</v>
      </c>
      <c r="J10" s="107" t="s">
        <v>43</v>
      </c>
      <c r="K10" s="107" t="s">
        <v>119</v>
      </c>
      <c r="L10" s="107"/>
      <c r="M10" s="99"/>
      <c r="N10" s="100"/>
      <c r="O10" s="21"/>
      <c r="P10" s="111"/>
      <c r="Q10" s="112"/>
      <c r="R10" s="94"/>
      <c r="S10" s="247" t="s">
        <v>386</v>
      </c>
    </row>
    <row r="11" spans="1:19" s="35" customFormat="1" ht="12.75" customHeight="1" x14ac:dyDescent="0.2">
      <c r="A11" s="327"/>
      <c r="B11" s="106"/>
      <c r="C11" s="362"/>
      <c r="D11" s="108"/>
      <c r="E11" s="108"/>
      <c r="F11" s="327"/>
      <c r="G11" s="324"/>
      <c r="H11" s="107">
        <v>6</v>
      </c>
      <c r="I11" s="107">
        <v>6</v>
      </c>
      <c r="J11" s="107" t="s">
        <v>43</v>
      </c>
      <c r="K11" s="107" t="s">
        <v>118</v>
      </c>
      <c r="L11" s="107"/>
      <c r="M11" s="99"/>
      <c r="N11" s="100"/>
      <c r="O11" s="21"/>
      <c r="P11" s="111"/>
      <c r="Q11" s="112"/>
      <c r="R11" s="94"/>
      <c r="S11" s="247" t="s">
        <v>386</v>
      </c>
    </row>
    <row r="12" spans="1:19" x14ac:dyDescent="0.2">
      <c r="A12" s="90" t="s">
        <v>94</v>
      </c>
      <c r="B12" s="106"/>
      <c r="C12" s="209" t="s">
        <v>116</v>
      </c>
      <c r="D12" s="108"/>
      <c r="E12" s="108"/>
      <c r="F12" s="90" t="s">
        <v>94</v>
      </c>
      <c r="G12" s="92" t="s">
        <v>113</v>
      </c>
      <c r="H12" s="107">
        <v>9</v>
      </c>
      <c r="I12" s="107">
        <v>4</v>
      </c>
      <c r="J12" s="107" t="s">
        <v>43</v>
      </c>
      <c r="K12" s="107" t="s">
        <v>115</v>
      </c>
      <c r="L12" s="107"/>
      <c r="M12" s="99"/>
      <c r="N12" s="100"/>
      <c r="O12" s="21"/>
      <c r="P12" s="111"/>
      <c r="Q12" s="112"/>
      <c r="R12" s="94"/>
      <c r="S12" s="244" t="s">
        <v>390</v>
      </c>
    </row>
    <row r="13" spans="1:19" x14ac:dyDescent="0.2">
      <c r="A13" s="338" t="s">
        <v>94</v>
      </c>
      <c r="B13" s="90" t="s">
        <v>73</v>
      </c>
      <c r="C13" s="363" t="s">
        <v>114</v>
      </c>
      <c r="D13" s="91" t="s">
        <v>71</v>
      </c>
      <c r="E13" s="104"/>
      <c r="F13" s="338" t="s">
        <v>94</v>
      </c>
      <c r="G13" s="341" t="s">
        <v>113</v>
      </c>
      <c r="H13" s="107">
        <v>16</v>
      </c>
      <c r="I13" s="107">
        <v>8</v>
      </c>
      <c r="J13" s="107" t="s">
        <v>43</v>
      </c>
      <c r="K13" s="107" t="s">
        <v>112</v>
      </c>
      <c r="L13" s="92" t="s">
        <v>95</v>
      </c>
      <c r="M13" s="42" t="s">
        <v>111</v>
      </c>
      <c r="N13" s="106" t="s">
        <v>93</v>
      </c>
      <c r="O13" s="115">
        <v>2400000</v>
      </c>
      <c r="P13" s="360">
        <v>40</v>
      </c>
      <c r="Q13" s="361"/>
      <c r="R13" s="113">
        <v>40</v>
      </c>
      <c r="S13" s="244" t="s">
        <v>389</v>
      </c>
    </row>
    <row r="14" spans="1:19" x14ac:dyDescent="0.2">
      <c r="A14" s="340"/>
      <c r="B14" s="106"/>
      <c r="C14" s="364"/>
      <c r="D14" s="108"/>
      <c r="E14" s="108"/>
      <c r="F14" s="340"/>
      <c r="G14" s="343"/>
      <c r="H14" s="107">
        <v>30</v>
      </c>
      <c r="I14" s="107">
        <v>5</v>
      </c>
      <c r="J14" s="107" t="s">
        <v>43</v>
      </c>
      <c r="K14" s="107" t="s">
        <v>110</v>
      </c>
      <c r="L14" s="107"/>
      <c r="M14" s="97"/>
      <c r="N14" s="98"/>
      <c r="O14" s="21"/>
      <c r="P14" s="111"/>
      <c r="Q14" s="112"/>
      <c r="R14" s="94"/>
      <c r="S14" s="244" t="s">
        <v>389</v>
      </c>
    </row>
    <row r="15" spans="1:19" ht="20.25" x14ac:dyDescent="0.3">
      <c r="C15" s="210"/>
      <c r="G15" s="33" t="s">
        <v>42</v>
      </c>
      <c r="H15" s="237">
        <f>SUM(H5:H14)</f>
        <v>151</v>
      </c>
    </row>
  </sheetData>
  <mergeCells count="24">
    <mergeCell ref="C5:C7"/>
    <mergeCell ref="A5:A7"/>
    <mergeCell ref="F5:F7"/>
    <mergeCell ref="G5:G7"/>
    <mergeCell ref="A1:C1"/>
    <mergeCell ref="A2:A3"/>
    <mergeCell ref="B2:B4"/>
    <mergeCell ref="D2:D4"/>
    <mergeCell ref="F2:F4"/>
    <mergeCell ref="C10:C11"/>
    <mergeCell ref="F10:F11"/>
    <mergeCell ref="A10:A11"/>
    <mergeCell ref="A13:A14"/>
    <mergeCell ref="C13:C14"/>
    <mergeCell ref="P13:Q13"/>
    <mergeCell ref="G13:G14"/>
    <mergeCell ref="F13:F14"/>
    <mergeCell ref="S2:S4"/>
    <mergeCell ref="M3:N3"/>
    <mergeCell ref="P2:Q4"/>
    <mergeCell ref="G10:G11"/>
    <mergeCell ref="M2:N2"/>
    <mergeCell ref="M4:N4"/>
    <mergeCell ref="H2:K2"/>
  </mergeCells>
  <printOptions horizontalCentered="1" verticalCentered="1"/>
  <pageMargins left="0.23622047244094491" right="0.23622047244094491" top="0.78740157480314965" bottom="0.78740157480314965" header="0.19685039370078741" footer="0.19685039370078741"/>
  <pageSetup paperSize="9" scale="87" orientation="landscape" horizontalDpi="300" verticalDpi="300" r:id="rId1"/>
  <headerFooter alignWithMargins="0">
    <oddHeader>&amp;L&amp;G&amp;C&amp;"-,Negrita"&amp;18&amp;A&amp;R&amp;G</oddHeader>
    <oddFooter>&amp;C&amp;"-,Negrita"&amp;10Ministerio de Obras Públicas y Comunicaciones&amp;"-,Normal"
Oliva y Alberdi Nº 411, C.P. Nº 1221, Asunción, Paraguay
Tel: 595 (021) 4149000&amp;R&amp;10Dirección de Caminos Vecinales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showGridLines="0" view="pageBreakPreview" zoomScaleNormal="75" zoomScaleSheetLayoutView="100" workbookViewId="0">
      <selection activeCell="J26" sqref="J26"/>
    </sheetView>
  </sheetViews>
  <sheetFormatPr defaultColWidth="11.42578125" defaultRowHeight="12.75" x14ac:dyDescent="0.2"/>
  <cols>
    <col min="1" max="1" width="14.7109375" style="82" customWidth="1"/>
    <col min="2" max="2" width="44" style="55" customWidth="1"/>
    <col min="3" max="3" width="12.85546875" style="55" customWidth="1"/>
    <col min="4" max="4" width="9.85546875" style="89" bestFit="1" customWidth="1"/>
    <col min="5" max="5" width="9.85546875" style="89" customWidth="1"/>
    <col min="6" max="6" width="21.7109375" style="55" customWidth="1"/>
    <col min="7" max="7" width="13" style="55" bestFit="1" customWidth="1"/>
    <col min="8" max="8" width="8.7109375" style="55" customWidth="1"/>
    <col min="9" max="9" width="4" style="55" customWidth="1"/>
    <col min="10" max="16384" width="11.42578125" style="55"/>
  </cols>
  <sheetData>
    <row r="1" spans="1:9" ht="9.9499999999999993" customHeight="1" x14ac:dyDescent="0.2">
      <c r="A1" s="53"/>
      <c r="B1" s="53"/>
      <c r="C1" s="53"/>
      <c r="D1" s="54"/>
      <c r="E1" s="54"/>
      <c r="F1" s="53"/>
      <c r="G1" s="53"/>
      <c r="H1" s="53"/>
    </row>
    <row r="2" spans="1:9" ht="18" customHeight="1" x14ac:dyDescent="0.3">
      <c r="A2" s="56" t="s">
        <v>349</v>
      </c>
      <c r="B2" s="57"/>
      <c r="C2" s="57"/>
      <c r="D2" s="58"/>
      <c r="E2" s="58"/>
      <c r="F2" s="57"/>
      <c r="G2" s="57"/>
      <c r="H2" s="57"/>
      <c r="I2" s="59"/>
    </row>
    <row r="3" spans="1:9" ht="21.95" customHeight="1" x14ac:dyDescent="0.3">
      <c r="A3" s="60" t="s">
        <v>0</v>
      </c>
      <c r="B3" s="61"/>
      <c r="C3" s="61"/>
      <c r="D3" s="62"/>
      <c r="E3" s="62"/>
      <c r="F3" s="61"/>
      <c r="G3" s="61"/>
      <c r="H3" s="61"/>
    </row>
    <row r="4" spans="1:9" ht="12" customHeight="1" x14ac:dyDescent="0.2">
      <c r="A4" s="63"/>
      <c r="B4" s="64"/>
      <c r="C4" s="64"/>
      <c r="D4" s="65"/>
      <c r="E4" s="65"/>
      <c r="F4" s="64"/>
      <c r="G4" s="64"/>
      <c r="H4" s="64"/>
    </row>
    <row r="6" spans="1:9" x14ac:dyDescent="0.2">
      <c r="A6" s="315" t="s">
        <v>1</v>
      </c>
      <c r="B6" s="315" t="s">
        <v>2</v>
      </c>
      <c r="C6" s="320" t="s">
        <v>3</v>
      </c>
      <c r="D6" s="316" t="s">
        <v>4</v>
      </c>
      <c r="E6" s="316"/>
      <c r="F6" s="315" t="s">
        <v>5</v>
      </c>
      <c r="G6" s="315" t="s">
        <v>367</v>
      </c>
    </row>
    <row r="7" spans="1:9" x14ac:dyDescent="0.2">
      <c r="A7" s="315"/>
      <c r="B7" s="315"/>
      <c r="C7" s="320"/>
      <c r="D7" s="177" t="s">
        <v>232</v>
      </c>
      <c r="E7" s="177" t="s">
        <v>231</v>
      </c>
      <c r="F7" s="315"/>
      <c r="G7" s="315"/>
    </row>
    <row r="8" spans="1:9" s="68" customFormat="1" hidden="1" x14ac:dyDescent="0.2">
      <c r="A8" s="374" t="s">
        <v>263</v>
      </c>
      <c r="B8" s="374" t="s">
        <v>262</v>
      </c>
      <c r="C8" s="66" t="s">
        <v>233</v>
      </c>
      <c r="D8" s="67">
        <v>12</v>
      </c>
      <c r="E8" s="67">
        <v>6</v>
      </c>
      <c r="F8" s="52" t="s">
        <v>261</v>
      </c>
    </row>
    <row r="9" spans="1:9" s="68" customFormat="1" hidden="1" x14ac:dyDescent="0.2">
      <c r="A9" s="374"/>
      <c r="B9" s="374"/>
      <c r="C9" s="66" t="s">
        <v>233</v>
      </c>
      <c r="D9" s="67">
        <v>18</v>
      </c>
      <c r="E9" s="67">
        <v>6</v>
      </c>
      <c r="F9" s="69" t="s">
        <v>260</v>
      </c>
    </row>
    <row r="10" spans="1:9" s="68" customFormat="1" hidden="1" x14ac:dyDescent="0.2">
      <c r="A10" s="374"/>
      <c r="B10" s="374"/>
      <c r="C10" s="66" t="s">
        <v>233</v>
      </c>
      <c r="D10" s="67">
        <v>6</v>
      </c>
      <c r="E10" s="67">
        <v>6</v>
      </c>
      <c r="F10" s="69" t="s">
        <v>259</v>
      </c>
    </row>
    <row r="11" spans="1:9" s="68" customFormat="1" x14ac:dyDescent="0.2">
      <c r="A11" s="70" t="s">
        <v>258</v>
      </c>
      <c r="B11" s="211" t="s">
        <v>257</v>
      </c>
      <c r="C11" s="69" t="s">
        <v>8</v>
      </c>
      <c r="D11" s="67">
        <v>6</v>
      </c>
      <c r="E11" s="67">
        <v>4</v>
      </c>
      <c r="F11" s="238" t="s">
        <v>346</v>
      </c>
      <c r="G11" s="248" t="s">
        <v>396</v>
      </c>
    </row>
    <row r="12" spans="1:9" s="68" customFormat="1" x14ac:dyDescent="0.2">
      <c r="A12" s="374" t="s">
        <v>256</v>
      </c>
      <c r="B12" s="379" t="s">
        <v>255</v>
      </c>
      <c r="C12" s="71" t="s">
        <v>8</v>
      </c>
      <c r="D12" s="67">
        <v>30</v>
      </c>
      <c r="E12" s="67">
        <v>4</v>
      </c>
      <c r="F12" s="238" t="s">
        <v>254</v>
      </c>
      <c r="G12" s="248" t="s">
        <v>394</v>
      </c>
    </row>
    <row r="13" spans="1:9" s="68" customFormat="1" x14ac:dyDescent="0.2">
      <c r="A13" s="374"/>
      <c r="B13" s="379"/>
      <c r="C13" s="71" t="s">
        <v>8</v>
      </c>
      <c r="D13" s="67">
        <v>12</v>
      </c>
      <c r="E13" s="67">
        <v>4</v>
      </c>
      <c r="F13" s="238" t="s">
        <v>253</v>
      </c>
      <c r="G13" s="248" t="s">
        <v>394</v>
      </c>
    </row>
    <row r="14" spans="1:9" s="68" customFormat="1" x14ac:dyDescent="0.2">
      <c r="A14" s="378" t="s">
        <v>251</v>
      </c>
      <c r="B14" s="377" t="s">
        <v>250</v>
      </c>
      <c r="C14" s="71" t="s">
        <v>8</v>
      </c>
      <c r="D14" s="67">
        <v>12</v>
      </c>
      <c r="E14" s="67">
        <v>4</v>
      </c>
      <c r="F14" s="238" t="s">
        <v>392</v>
      </c>
      <c r="G14" s="248" t="s">
        <v>391</v>
      </c>
    </row>
    <row r="15" spans="1:9" s="68" customFormat="1" x14ac:dyDescent="0.2">
      <c r="A15" s="378"/>
      <c r="B15" s="377"/>
      <c r="C15" s="71" t="s">
        <v>8</v>
      </c>
      <c r="D15" s="67">
        <v>5</v>
      </c>
      <c r="E15" s="67">
        <v>4</v>
      </c>
      <c r="F15" s="238" t="s">
        <v>342</v>
      </c>
      <c r="G15" s="248" t="s">
        <v>391</v>
      </c>
    </row>
    <row r="16" spans="1:9" s="68" customFormat="1" x14ac:dyDescent="0.2">
      <c r="A16" s="378"/>
      <c r="B16" s="377"/>
      <c r="C16" s="71" t="s">
        <v>8</v>
      </c>
      <c r="D16" s="67">
        <v>12</v>
      </c>
      <c r="E16" s="67">
        <v>4</v>
      </c>
      <c r="F16" s="238" t="s">
        <v>252</v>
      </c>
      <c r="G16" s="248" t="s">
        <v>391</v>
      </c>
    </row>
    <row r="17" spans="1:7" s="68" customFormat="1" x14ac:dyDescent="0.2">
      <c r="A17" s="378"/>
      <c r="B17" s="377"/>
      <c r="C17" s="71" t="s">
        <v>8</v>
      </c>
      <c r="D17" s="67">
        <v>6</v>
      </c>
      <c r="E17" s="67">
        <v>4</v>
      </c>
      <c r="F17" s="238" t="s">
        <v>341</v>
      </c>
      <c r="G17" s="248" t="s">
        <v>391</v>
      </c>
    </row>
    <row r="18" spans="1:7" s="68" customFormat="1" x14ac:dyDescent="0.2">
      <c r="A18" s="378"/>
      <c r="B18" s="377"/>
      <c r="C18" s="71" t="s">
        <v>8</v>
      </c>
      <c r="D18" s="67">
        <v>6</v>
      </c>
      <c r="E18" s="67">
        <v>4</v>
      </c>
      <c r="F18" s="238" t="s">
        <v>249</v>
      </c>
      <c r="G18" s="248" t="s">
        <v>391</v>
      </c>
    </row>
    <row r="19" spans="1:7" s="68" customFormat="1" x14ac:dyDescent="0.2">
      <c r="A19" s="378"/>
      <c r="B19" s="377"/>
      <c r="C19" s="71" t="s">
        <v>8</v>
      </c>
      <c r="D19" s="67">
        <v>12</v>
      </c>
      <c r="E19" s="67">
        <v>4</v>
      </c>
      <c r="F19" s="238" t="s">
        <v>248</v>
      </c>
      <c r="G19" s="248" t="s">
        <v>391</v>
      </c>
    </row>
    <row r="20" spans="1:7" s="68" customFormat="1" x14ac:dyDescent="0.2">
      <c r="A20" s="378"/>
      <c r="B20" s="377"/>
      <c r="C20" s="71" t="s">
        <v>8</v>
      </c>
      <c r="D20" s="67">
        <v>6</v>
      </c>
      <c r="E20" s="67">
        <v>4</v>
      </c>
      <c r="F20" s="238" t="s">
        <v>247</v>
      </c>
      <c r="G20" s="248" t="s">
        <v>393</v>
      </c>
    </row>
    <row r="21" spans="1:7" s="68" customFormat="1" x14ac:dyDescent="0.2">
      <c r="A21" s="71" t="s">
        <v>344</v>
      </c>
      <c r="B21" s="212" t="s">
        <v>343</v>
      </c>
      <c r="C21" s="71" t="s">
        <v>8</v>
      </c>
      <c r="D21" s="67">
        <v>6</v>
      </c>
      <c r="E21" s="67">
        <v>4</v>
      </c>
      <c r="F21" s="238" t="s">
        <v>345</v>
      </c>
      <c r="G21" s="248" t="s">
        <v>393</v>
      </c>
    </row>
    <row r="22" spans="1:7" s="68" customFormat="1" x14ac:dyDescent="0.2">
      <c r="A22" s="378" t="s">
        <v>246</v>
      </c>
      <c r="B22" s="377" t="s">
        <v>245</v>
      </c>
      <c r="C22" s="71" t="s">
        <v>8</v>
      </c>
      <c r="D22" s="67">
        <v>6</v>
      </c>
      <c r="E22" s="67">
        <v>4</v>
      </c>
      <c r="F22" s="224" t="s">
        <v>244</v>
      </c>
      <c r="G22" s="248" t="s">
        <v>394</v>
      </c>
    </row>
    <row r="23" spans="1:7" s="68" customFormat="1" x14ac:dyDescent="0.2">
      <c r="A23" s="378"/>
      <c r="B23" s="377"/>
      <c r="C23" s="71" t="s">
        <v>8</v>
      </c>
      <c r="D23" s="67">
        <v>5</v>
      </c>
      <c r="E23" s="67">
        <v>4</v>
      </c>
      <c r="F23" s="224" t="s">
        <v>243</v>
      </c>
      <c r="G23" s="248" t="s">
        <v>394</v>
      </c>
    </row>
    <row r="24" spans="1:7" s="68" customFormat="1" x14ac:dyDescent="0.2">
      <c r="A24" s="378"/>
      <c r="B24" s="377"/>
      <c r="C24" s="71" t="s">
        <v>8</v>
      </c>
      <c r="D24" s="67">
        <v>6</v>
      </c>
      <c r="E24" s="67">
        <v>4</v>
      </c>
      <c r="F24" s="224" t="s">
        <v>242</v>
      </c>
      <c r="G24" s="248" t="s">
        <v>394</v>
      </c>
    </row>
    <row r="25" spans="1:7" s="68" customFormat="1" x14ac:dyDescent="0.2">
      <c r="A25" s="378"/>
      <c r="B25" s="377"/>
      <c r="C25" s="71" t="s">
        <v>8</v>
      </c>
      <c r="D25" s="67">
        <v>6</v>
      </c>
      <c r="E25" s="67">
        <v>4</v>
      </c>
      <c r="F25" s="224" t="s">
        <v>241</v>
      </c>
      <c r="G25" s="248" t="s">
        <v>394</v>
      </c>
    </row>
    <row r="26" spans="1:7" s="68" customFormat="1" x14ac:dyDescent="0.2">
      <c r="A26" s="378"/>
      <c r="B26" s="377"/>
      <c r="C26" s="71" t="s">
        <v>8</v>
      </c>
      <c r="D26" s="67">
        <v>7</v>
      </c>
      <c r="E26" s="67">
        <v>4</v>
      </c>
      <c r="F26" s="224" t="s">
        <v>240</v>
      </c>
      <c r="G26" s="248" t="s">
        <v>395</v>
      </c>
    </row>
    <row r="27" spans="1:7" s="68" customFormat="1" x14ac:dyDescent="0.2">
      <c r="A27" s="71" t="s">
        <v>239</v>
      </c>
      <c r="B27" s="212" t="s">
        <v>238</v>
      </c>
      <c r="C27" s="71" t="s">
        <v>8</v>
      </c>
      <c r="D27" s="67">
        <v>6</v>
      </c>
      <c r="E27" s="67">
        <v>4</v>
      </c>
      <c r="F27" s="224" t="s">
        <v>237</v>
      </c>
      <c r="G27" s="248" t="s">
        <v>397</v>
      </c>
    </row>
    <row r="28" spans="1:7" s="68" customFormat="1" x14ac:dyDescent="0.2">
      <c r="A28" s="71" t="s">
        <v>348</v>
      </c>
      <c r="B28" s="212" t="s">
        <v>347</v>
      </c>
      <c r="C28" s="194" t="s">
        <v>8</v>
      </c>
      <c r="D28" s="67">
        <v>8</v>
      </c>
      <c r="E28" s="67">
        <v>4</v>
      </c>
      <c r="F28" s="224" t="s">
        <v>230</v>
      </c>
      <c r="G28" s="248" t="s">
        <v>396</v>
      </c>
    </row>
    <row r="29" spans="1:7" s="68" customFormat="1" hidden="1" x14ac:dyDescent="0.2">
      <c r="A29" s="368" t="s">
        <v>236</v>
      </c>
      <c r="B29" s="371" t="s">
        <v>235</v>
      </c>
      <c r="C29" s="72" t="s">
        <v>233</v>
      </c>
      <c r="D29" s="73">
        <v>40</v>
      </c>
      <c r="E29" s="67">
        <v>4</v>
      </c>
      <c r="F29" s="72"/>
    </row>
    <row r="30" spans="1:7" s="68" customFormat="1" hidden="1" x14ac:dyDescent="0.2">
      <c r="A30" s="369"/>
      <c r="B30" s="372"/>
      <c r="C30" s="74" t="s">
        <v>233</v>
      </c>
      <c r="D30" s="75">
        <v>10</v>
      </c>
      <c r="E30" s="67">
        <v>4</v>
      </c>
      <c r="F30" s="74"/>
    </row>
    <row r="31" spans="1:7" s="68" customFormat="1" hidden="1" x14ac:dyDescent="0.2">
      <c r="A31" s="369"/>
      <c r="B31" s="372"/>
      <c r="C31" s="74" t="s">
        <v>233</v>
      </c>
      <c r="D31" s="75">
        <v>7.5</v>
      </c>
      <c r="E31" s="67">
        <v>4</v>
      </c>
      <c r="F31" s="74"/>
    </row>
    <row r="32" spans="1:7" s="78" customFormat="1" ht="13.5" hidden="1" thickBot="1" x14ac:dyDescent="0.25">
      <c r="A32" s="370"/>
      <c r="B32" s="373"/>
      <c r="C32" s="76" t="s">
        <v>233</v>
      </c>
      <c r="D32" s="77">
        <v>8</v>
      </c>
      <c r="E32" s="67">
        <v>4</v>
      </c>
      <c r="F32" s="76"/>
    </row>
    <row r="33" spans="1:6" s="78" customFormat="1" ht="18" x14ac:dyDescent="0.25">
      <c r="A33" s="79"/>
      <c r="B33" s="213"/>
      <c r="C33" s="80" t="s">
        <v>9</v>
      </c>
      <c r="D33" s="81">
        <f>SUM(D11:D28)</f>
        <v>157</v>
      </c>
      <c r="E33" s="65"/>
      <c r="F33" s="79"/>
    </row>
    <row r="34" spans="1:6" hidden="1" x14ac:dyDescent="0.2">
      <c r="B34" s="375"/>
      <c r="C34" s="83" t="s">
        <v>234</v>
      </c>
      <c r="D34" s="84">
        <v>7</v>
      </c>
      <c r="E34" s="85" t="e">
        <f>#REF!+#REF!+#REF!+#REF!+#REF!+#REF!+#REF!</f>
        <v>#REF!</v>
      </c>
      <c r="F34" s="376"/>
    </row>
    <row r="35" spans="1:6" hidden="1" x14ac:dyDescent="0.2">
      <c r="B35" s="375"/>
      <c r="C35" s="86" t="s">
        <v>233</v>
      </c>
      <c r="D35" s="69">
        <v>13</v>
      </c>
      <c r="E35" s="67" t="e">
        <f>D32+D31+D30+D29+#REF!+#REF!+#REF!+#REF!+#REF!+#REF!+D10+D9+D8</f>
        <v>#REF!</v>
      </c>
      <c r="F35" s="376"/>
    </row>
    <row r="36" spans="1:6" ht="13.5" hidden="1" thickBot="1" x14ac:dyDescent="0.25">
      <c r="B36" s="375"/>
      <c r="C36" s="87" t="s">
        <v>39</v>
      </c>
      <c r="D36" s="88" t="e">
        <f>#REF!+D35</f>
        <v>#REF!</v>
      </c>
      <c r="E36" s="88" t="e">
        <f>#REF!+E35</f>
        <v>#REF!</v>
      </c>
      <c r="F36" s="376"/>
    </row>
    <row r="37" spans="1:6" x14ac:dyDescent="0.2">
      <c r="A37" s="55"/>
      <c r="D37" s="55"/>
      <c r="E37" s="55"/>
    </row>
    <row r="38" spans="1:6" x14ac:dyDescent="0.2">
      <c r="A38" s="55"/>
      <c r="D38" s="55"/>
      <c r="E38" s="55"/>
    </row>
    <row r="39" spans="1:6" x14ac:dyDescent="0.2">
      <c r="A39" s="55"/>
      <c r="D39" s="55"/>
      <c r="E39" s="55"/>
    </row>
    <row r="40" spans="1:6" x14ac:dyDescent="0.2">
      <c r="A40" s="55"/>
      <c r="D40" s="55"/>
      <c r="E40" s="55"/>
    </row>
    <row r="41" spans="1:6" x14ac:dyDescent="0.2">
      <c r="A41" s="55"/>
      <c r="D41" s="55"/>
      <c r="E41" s="55"/>
    </row>
  </sheetData>
  <mergeCells count="18">
    <mergeCell ref="B34:B36"/>
    <mergeCell ref="F34:F36"/>
    <mergeCell ref="B22:B26"/>
    <mergeCell ref="A22:A26"/>
    <mergeCell ref="B12:B13"/>
    <mergeCell ref="A12:A13"/>
    <mergeCell ref="A14:A20"/>
    <mergeCell ref="B14:B20"/>
    <mergeCell ref="G6:G7"/>
    <mergeCell ref="F6:F7"/>
    <mergeCell ref="D6:E6"/>
    <mergeCell ref="A29:A32"/>
    <mergeCell ref="B29:B32"/>
    <mergeCell ref="A8:A10"/>
    <mergeCell ref="B8:B10"/>
    <mergeCell ref="A6:A7"/>
    <mergeCell ref="B6:B7"/>
    <mergeCell ref="C6:C7"/>
  </mergeCells>
  <printOptions horizontalCentered="1" verticalCentered="1"/>
  <pageMargins left="0.19685039370078741" right="0.19685039370078741" top="0.78740157480314965" bottom="0.78740157480314965" header="0.19685039370078741" footer="0.19685039370078741"/>
  <pageSetup paperSize="9" orientation="landscape" horizontalDpi="300" verticalDpi="300" r:id="rId1"/>
  <headerFooter alignWithMargins="0">
    <oddHeader>&amp;L&amp;G&amp;C&amp;"-,Negrita"&amp;18&amp;A&amp;R&amp;G</oddHeader>
    <oddFooter>&amp;C&amp;"-,Negrita"&amp;10Ministerio de Obras Públicas y Comunicaciones&amp;"-,Normal"
Oliva y Alberdi Nº 411, C.P. Nº 1221, Asunción, Paraguay
Tel: 595 (021) 4149000&amp;R&amp;10Dirección de Caminos Vecinales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3"/>
  <sheetViews>
    <sheetView view="pageBreakPreview" zoomScaleSheetLayoutView="100" workbookViewId="0">
      <selection activeCell="K33" sqref="K33"/>
    </sheetView>
  </sheetViews>
  <sheetFormatPr defaultColWidth="11.42578125" defaultRowHeight="12.75" x14ac:dyDescent="0.2"/>
  <cols>
    <col min="1" max="1" width="14" style="16" customWidth="1"/>
    <col min="2" max="2" width="14" style="16" hidden="1" customWidth="1"/>
    <col min="3" max="3" width="47.5703125" style="16" customWidth="1"/>
    <col min="4" max="4" width="22.5703125" style="16" hidden="1" customWidth="1"/>
    <col min="5" max="5" width="9.7109375" style="16" customWidth="1"/>
    <col min="6" max="6" width="9.5703125" style="17" customWidth="1"/>
    <col min="7" max="7" width="12.5703125" style="16" customWidth="1"/>
    <col min="8" max="10" width="9.5703125" style="16" customWidth="1"/>
    <col min="11" max="11" width="20.7109375" style="16" customWidth="1"/>
    <col min="12" max="12" width="24.85546875" style="16" hidden="1" customWidth="1"/>
    <col min="13" max="14" width="12.28515625" style="16" hidden="1" customWidth="1"/>
    <col min="15" max="15" width="15.5703125" style="16" hidden="1" customWidth="1"/>
    <col min="16" max="17" width="0" style="16" hidden="1" customWidth="1"/>
    <col min="18" max="18" width="19.28515625" style="16" hidden="1" customWidth="1"/>
    <col min="19" max="19" width="16.42578125" style="16" bestFit="1" customWidth="1"/>
    <col min="20" max="16384" width="11.42578125" style="16"/>
  </cols>
  <sheetData>
    <row r="1" spans="1:19" ht="16.5" x14ac:dyDescent="0.3">
      <c r="A1" s="358" t="s">
        <v>180</v>
      </c>
      <c r="B1" s="358"/>
      <c r="C1" s="359"/>
      <c r="D1" s="31"/>
    </row>
    <row r="2" spans="1:19" s="30" customFormat="1" ht="12.75" customHeight="1" x14ac:dyDescent="0.2">
      <c r="A2" s="310"/>
      <c r="B2" s="312" t="s">
        <v>91</v>
      </c>
      <c r="C2" s="122" t="s">
        <v>90</v>
      </c>
      <c r="D2" s="312" t="s">
        <v>89</v>
      </c>
      <c r="E2" s="312" t="s">
        <v>88</v>
      </c>
      <c r="F2" s="101"/>
      <c r="G2" s="289" t="s">
        <v>87</v>
      </c>
      <c r="H2" s="290"/>
      <c r="I2" s="290"/>
      <c r="J2" s="290"/>
      <c r="K2" s="291"/>
      <c r="L2" s="129"/>
      <c r="M2" s="344"/>
      <c r="N2" s="345"/>
      <c r="O2" s="129"/>
      <c r="P2" s="344" t="s">
        <v>86</v>
      </c>
      <c r="Q2" s="345"/>
      <c r="R2" s="130"/>
      <c r="S2" s="312" t="s">
        <v>367</v>
      </c>
    </row>
    <row r="3" spans="1:19" s="30" customFormat="1" ht="67.5" customHeight="1" x14ac:dyDescent="0.2">
      <c r="A3" s="311"/>
      <c r="B3" s="313"/>
      <c r="C3" s="101" t="s">
        <v>85</v>
      </c>
      <c r="D3" s="313"/>
      <c r="E3" s="313"/>
      <c r="F3" s="102" t="s">
        <v>84</v>
      </c>
      <c r="G3" s="102" t="s">
        <v>83</v>
      </c>
      <c r="H3" s="102" t="s">
        <v>82</v>
      </c>
      <c r="I3" s="102" t="s">
        <v>81</v>
      </c>
      <c r="J3" s="321" t="s">
        <v>80</v>
      </c>
      <c r="K3" s="386"/>
      <c r="L3" s="131" t="s">
        <v>79</v>
      </c>
      <c r="M3" s="346" t="s">
        <v>78</v>
      </c>
      <c r="N3" s="347"/>
      <c r="O3" s="131" t="s">
        <v>77</v>
      </c>
      <c r="P3" s="346"/>
      <c r="Q3" s="347"/>
      <c r="R3" s="132" t="s">
        <v>76</v>
      </c>
      <c r="S3" s="313"/>
    </row>
    <row r="4" spans="1:19" s="30" customFormat="1" x14ac:dyDescent="0.2">
      <c r="A4" s="122" t="s">
        <v>75</v>
      </c>
      <c r="B4" s="314"/>
      <c r="C4" s="121" t="s">
        <v>74</v>
      </c>
      <c r="D4" s="314"/>
      <c r="E4" s="314"/>
      <c r="F4" s="103"/>
      <c r="G4" s="103"/>
      <c r="H4" s="103"/>
      <c r="I4" s="103"/>
      <c r="J4" s="323"/>
      <c r="K4" s="387"/>
      <c r="L4" s="133"/>
      <c r="M4" s="348"/>
      <c r="N4" s="349"/>
      <c r="O4" s="133"/>
      <c r="P4" s="348"/>
      <c r="Q4" s="349"/>
      <c r="R4" s="134"/>
      <c r="S4" s="314"/>
    </row>
    <row r="5" spans="1:19" s="24" customFormat="1" ht="12.75" hidden="1" customHeight="1" x14ac:dyDescent="0.2">
      <c r="A5" s="338">
        <v>132012</v>
      </c>
      <c r="B5" s="338" t="s">
        <v>73</v>
      </c>
      <c r="C5" s="388" t="s">
        <v>72</v>
      </c>
      <c r="D5" s="388" t="s">
        <v>71</v>
      </c>
      <c r="E5" s="338">
        <v>1</v>
      </c>
      <c r="F5" s="341" t="s">
        <v>54</v>
      </c>
      <c r="G5" s="380" t="s">
        <v>70</v>
      </c>
      <c r="H5" s="381"/>
      <c r="I5" s="381"/>
      <c r="J5" s="381"/>
      <c r="K5" s="382"/>
      <c r="L5" s="341" t="s">
        <v>41</v>
      </c>
      <c r="M5" s="352" t="s">
        <v>69</v>
      </c>
      <c r="N5" s="353"/>
      <c r="O5" s="21">
        <v>5271000</v>
      </c>
      <c r="P5" s="354">
        <v>87.85</v>
      </c>
      <c r="Q5" s="355"/>
      <c r="R5" s="94">
        <v>87.85</v>
      </c>
    </row>
    <row r="6" spans="1:19" s="24" customFormat="1" ht="12.75" hidden="1" customHeight="1" x14ac:dyDescent="0.2">
      <c r="A6" s="340"/>
      <c r="B6" s="340"/>
      <c r="C6" s="389"/>
      <c r="D6" s="389"/>
      <c r="E6" s="340"/>
      <c r="F6" s="343"/>
      <c r="G6" s="383"/>
      <c r="H6" s="384"/>
      <c r="I6" s="384"/>
      <c r="J6" s="384"/>
      <c r="K6" s="385"/>
      <c r="L6" s="343"/>
      <c r="M6" s="99"/>
      <c r="N6" s="100"/>
      <c r="O6" s="115"/>
      <c r="P6" s="95"/>
      <c r="Q6" s="96"/>
      <c r="R6" s="25"/>
    </row>
    <row r="7" spans="1:19" s="24" customFormat="1" ht="12.75" customHeight="1" x14ac:dyDescent="0.2">
      <c r="A7" s="184">
        <v>102</v>
      </c>
      <c r="B7" s="41"/>
      <c r="C7" s="187" t="s">
        <v>179</v>
      </c>
      <c r="D7" s="183"/>
      <c r="E7" s="184">
        <v>12</v>
      </c>
      <c r="F7" s="186" t="s">
        <v>44</v>
      </c>
      <c r="G7" s="186">
        <v>7</v>
      </c>
      <c r="H7" s="186">
        <v>5</v>
      </c>
      <c r="I7" s="186" t="s">
        <v>43</v>
      </c>
      <c r="J7" s="40" t="s">
        <v>18</v>
      </c>
      <c r="K7" s="39" t="s">
        <v>178</v>
      </c>
      <c r="L7" s="189"/>
      <c r="M7" s="190"/>
      <c r="N7" s="191"/>
      <c r="O7" s="192"/>
      <c r="P7" s="193"/>
      <c r="Q7" s="195"/>
      <c r="R7" s="25"/>
      <c r="S7" s="245" t="s">
        <v>398</v>
      </c>
    </row>
    <row r="8" spans="1:19" s="24" customFormat="1" ht="12.75" customHeight="1" x14ac:dyDescent="0.2">
      <c r="A8" s="338">
        <v>1026</v>
      </c>
      <c r="B8" s="41"/>
      <c r="C8" s="335" t="s">
        <v>177</v>
      </c>
      <c r="D8" s="105"/>
      <c r="E8" s="338">
        <v>29</v>
      </c>
      <c r="F8" s="341" t="s">
        <v>54</v>
      </c>
      <c r="G8" s="107">
        <v>7</v>
      </c>
      <c r="H8" s="107">
        <v>5</v>
      </c>
      <c r="I8" s="107" t="s">
        <v>43</v>
      </c>
      <c r="J8" s="40" t="s">
        <v>18</v>
      </c>
      <c r="K8" s="39" t="s">
        <v>176</v>
      </c>
      <c r="L8" s="110"/>
      <c r="M8" s="99"/>
      <c r="N8" s="100"/>
      <c r="O8" s="115"/>
      <c r="P8" s="113"/>
      <c r="Q8" s="124"/>
      <c r="R8" s="25"/>
      <c r="S8" s="245" t="s">
        <v>399</v>
      </c>
    </row>
    <row r="9" spans="1:19" s="24" customFormat="1" ht="12.75" customHeight="1" x14ac:dyDescent="0.2">
      <c r="A9" s="339"/>
      <c r="B9" s="41"/>
      <c r="C9" s="336"/>
      <c r="D9" s="105"/>
      <c r="E9" s="339"/>
      <c r="F9" s="342"/>
      <c r="G9" s="107">
        <v>7</v>
      </c>
      <c r="H9" s="107">
        <v>4</v>
      </c>
      <c r="I9" s="107" t="s">
        <v>43</v>
      </c>
      <c r="J9" s="40" t="s">
        <v>18</v>
      </c>
      <c r="K9" s="39" t="s">
        <v>175</v>
      </c>
      <c r="L9" s="110"/>
      <c r="M9" s="99"/>
      <c r="N9" s="100"/>
      <c r="O9" s="115"/>
      <c r="P9" s="113"/>
      <c r="Q9" s="124"/>
      <c r="R9" s="25"/>
      <c r="S9" s="245" t="s">
        <v>399</v>
      </c>
    </row>
    <row r="10" spans="1:19" s="24" customFormat="1" ht="12.75" customHeight="1" x14ac:dyDescent="0.2">
      <c r="A10" s="340"/>
      <c r="B10" s="41"/>
      <c r="C10" s="337"/>
      <c r="D10" s="105"/>
      <c r="E10" s="340"/>
      <c r="F10" s="343"/>
      <c r="G10" s="107">
        <v>6</v>
      </c>
      <c r="H10" s="107">
        <v>5</v>
      </c>
      <c r="I10" s="107" t="s">
        <v>43</v>
      </c>
      <c r="J10" s="40" t="s">
        <v>18</v>
      </c>
      <c r="K10" s="39" t="s">
        <v>174</v>
      </c>
      <c r="L10" s="110"/>
      <c r="M10" s="99"/>
      <c r="N10" s="100"/>
      <c r="O10" s="115"/>
      <c r="P10" s="113"/>
      <c r="Q10" s="124"/>
      <c r="R10" s="25"/>
      <c r="S10" s="245" t="s">
        <v>399</v>
      </c>
    </row>
    <row r="11" spans="1:19" s="24" customFormat="1" ht="12.75" customHeight="1" x14ac:dyDescent="0.2">
      <c r="A11" s="338">
        <v>1214</v>
      </c>
      <c r="B11" s="106"/>
      <c r="C11" s="335" t="s">
        <v>173</v>
      </c>
      <c r="D11" s="28"/>
      <c r="E11" s="338">
        <v>39</v>
      </c>
      <c r="F11" s="341" t="s">
        <v>54</v>
      </c>
      <c r="G11" s="107">
        <v>6</v>
      </c>
      <c r="H11" s="107">
        <v>6</v>
      </c>
      <c r="I11" s="107" t="s">
        <v>43</v>
      </c>
      <c r="J11" s="40" t="s">
        <v>18</v>
      </c>
      <c r="K11" s="39" t="s">
        <v>172</v>
      </c>
      <c r="L11" s="110"/>
      <c r="M11" s="99"/>
      <c r="N11" s="100"/>
      <c r="O11" s="115"/>
      <c r="P11" s="113"/>
      <c r="Q11" s="124"/>
      <c r="R11" s="25"/>
      <c r="S11" s="245" t="s">
        <v>400</v>
      </c>
    </row>
    <row r="12" spans="1:19" s="24" customFormat="1" ht="12.75" customHeight="1" x14ac:dyDescent="0.2">
      <c r="A12" s="340"/>
      <c r="B12" s="106"/>
      <c r="C12" s="337"/>
      <c r="D12" s="28"/>
      <c r="E12" s="340"/>
      <c r="F12" s="343"/>
      <c r="G12" s="107">
        <v>9</v>
      </c>
      <c r="H12" s="107">
        <v>5</v>
      </c>
      <c r="I12" s="107" t="s">
        <v>43</v>
      </c>
      <c r="J12" s="40" t="s">
        <v>18</v>
      </c>
      <c r="K12" s="39" t="s">
        <v>171</v>
      </c>
      <c r="L12" s="110"/>
      <c r="M12" s="99"/>
      <c r="N12" s="100"/>
      <c r="O12" s="115"/>
      <c r="P12" s="113"/>
      <c r="Q12" s="124"/>
      <c r="R12" s="25"/>
      <c r="S12" s="24" t="s">
        <v>403</v>
      </c>
    </row>
    <row r="13" spans="1:19" s="24" customFormat="1" ht="12.75" customHeight="1" x14ac:dyDescent="0.2">
      <c r="A13" s="338">
        <v>1612</v>
      </c>
      <c r="B13" s="106"/>
      <c r="C13" s="335" t="s">
        <v>170</v>
      </c>
      <c r="D13" s="28"/>
      <c r="E13" s="338">
        <v>36</v>
      </c>
      <c r="F13" s="341" t="s">
        <v>54</v>
      </c>
      <c r="G13" s="107">
        <v>12</v>
      </c>
      <c r="H13" s="107">
        <v>6</v>
      </c>
      <c r="I13" s="107" t="s">
        <v>43</v>
      </c>
      <c r="J13" s="40" t="s">
        <v>18</v>
      </c>
      <c r="K13" s="39" t="s">
        <v>169</v>
      </c>
      <c r="L13" s="110"/>
      <c r="M13" s="99"/>
      <c r="N13" s="100"/>
      <c r="O13" s="115"/>
      <c r="P13" s="113"/>
      <c r="Q13" s="124"/>
      <c r="R13" s="25"/>
      <c r="S13" s="245" t="s">
        <v>400</v>
      </c>
    </row>
    <row r="14" spans="1:19" s="24" customFormat="1" ht="12.75" customHeight="1" x14ac:dyDescent="0.2">
      <c r="A14" s="339"/>
      <c r="B14" s="106"/>
      <c r="C14" s="336"/>
      <c r="D14" s="28"/>
      <c r="E14" s="339"/>
      <c r="F14" s="342"/>
      <c r="G14" s="107">
        <v>7</v>
      </c>
      <c r="H14" s="107">
        <v>5</v>
      </c>
      <c r="I14" s="107" t="s">
        <v>43</v>
      </c>
      <c r="J14" s="40" t="s">
        <v>18</v>
      </c>
      <c r="K14" s="39" t="s">
        <v>168</v>
      </c>
      <c r="L14" s="110"/>
      <c r="M14" s="99"/>
      <c r="N14" s="100"/>
      <c r="O14" s="115"/>
      <c r="P14" s="113"/>
      <c r="Q14" s="124"/>
      <c r="R14" s="25"/>
      <c r="S14" s="245" t="s">
        <v>400</v>
      </c>
    </row>
    <row r="15" spans="1:19" s="24" customFormat="1" ht="12.75" customHeight="1" x14ac:dyDescent="0.2">
      <c r="A15" s="340"/>
      <c r="B15" s="106"/>
      <c r="C15" s="337"/>
      <c r="D15" s="28"/>
      <c r="E15" s="340"/>
      <c r="F15" s="343"/>
      <c r="G15" s="107">
        <v>10</v>
      </c>
      <c r="H15" s="107">
        <v>5</v>
      </c>
      <c r="I15" s="107" t="s">
        <v>43</v>
      </c>
      <c r="J15" s="40" t="s">
        <v>18</v>
      </c>
      <c r="K15" s="39" t="s">
        <v>167</v>
      </c>
      <c r="L15" s="110"/>
      <c r="M15" s="99"/>
      <c r="N15" s="100"/>
      <c r="O15" s="115"/>
      <c r="P15" s="113"/>
      <c r="Q15" s="124"/>
      <c r="R15" s="25"/>
      <c r="S15" s="245" t="s">
        <v>403</v>
      </c>
    </row>
    <row r="16" spans="1:19" s="24" customFormat="1" ht="12.75" customHeight="1" x14ac:dyDescent="0.2">
      <c r="A16" s="106">
        <v>1607</v>
      </c>
      <c r="B16" s="106"/>
      <c r="C16" s="29" t="s">
        <v>166</v>
      </c>
      <c r="D16" s="28"/>
      <c r="E16" s="106">
        <v>28</v>
      </c>
      <c r="F16" s="107" t="s">
        <v>54</v>
      </c>
      <c r="G16" s="107">
        <v>20</v>
      </c>
      <c r="H16" s="107">
        <v>4</v>
      </c>
      <c r="I16" s="107" t="s">
        <v>43</v>
      </c>
      <c r="J16" s="40" t="s">
        <v>18</v>
      </c>
      <c r="K16" s="39" t="s">
        <v>165</v>
      </c>
      <c r="L16" s="110"/>
      <c r="M16" s="99"/>
      <c r="N16" s="100"/>
      <c r="O16" s="115"/>
      <c r="P16" s="113"/>
      <c r="Q16" s="124"/>
      <c r="R16" s="25"/>
      <c r="S16" s="245" t="s">
        <v>401</v>
      </c>
    </row>
    <row r="17" spans="1:21" s="24" customFormat="1" ht="12.75" customHeight="1" x14ac:dyDescent="0.2">
      <c r="A17" s="338">
        <v>4009</v>
      </c>
      <c r="B17" s="106"/>
      <c r="C17" s="335" t="s">
        <v>164</v>
      </c>
      <c r="D17" s="28"/>
      <c r="E17" s="338">
        <v>7</v>
      </c>
      <c r="F17" s="341" t="s">
        <v>54</v>
      </c>
      <c r="G17" s="107">
        <v>7</v>
      </c>
      <c r="H17" s="107">
        <v>5</v>
      </c>
      <c r="I17" s="107" t="s">
        <v>43</v>
      </c>
      <c r="J17" s="40" t="s">
        <v>18</v>
      </c>
      <c r="K17" s="39" t="s">
        <v>163</v>
      </c>
      <c r="L17" s="110"/>
      <c r="M17" s="99"/>
      <c r="N17" s="100"/>
      <c r="O17" s="115"/>
      <c r="P17" s="113"/>
      <c r="Q17" s="124"/>
      <c r="R17" s="25"/>
      <c r="S17" s="245" t="s">
        <v>401</v>
      </c>
    </row>
    <row r="18" spans="1:21" s="24" customFormat="1" ht="12.6" customHeight="1" x14ac:dyDescent="0.2">
      <c r="A18" s="340"/>
      <c r="B18" s="106"/>
      <c r="C18" s="337"/>
      <c r="D18" s="28"/>
      <c r="E18" s="340"/>
      <c r="F18" s="343"/>
      <c r="G18" s="107">
        <v>12</v>
      </c>
      <c r="H18" s="107">
        <v>6</v>
      </c>
      <c r="I18" s="107" t="s">
        <v>43</v>
      </c>
      <c r="J18" s="40" t="s">
        <v>18</v>
      </c>
      <c r="K18" s="39" t="s">
        <v>162</v>
      </c>
      <c r="L18" s="110"/>
      <c r="M18" s="99"/>
      <c r="N18" s="100"/>
      <c r="O18" s="115"/>
      <c r="P18" s="113"/>
      <c r="Q18" s="124"/>
      <c r="R18" s="25"/>
      <c r="S18" s="245" t="s">
        <v>401</v>
      </c>
    </row>
    <row r="19" spans="1:21" s="24" customFormat="1" ht="12.75" customHeight="1" x14ac:dyDescent="0.2">
      <c r="A19" s="338">
        <v>1243</v>
      </c>
      <c r="B19" s="106"/>
      <c r="C19" s="335" t="s">
        <v>161</v>
      </c>
      <c r="D19" s="28"/>
      <c r="E19" s="338">
        <v>1</v>
      </c>
      <c r="F19" s="341" t="s">
        <v>54</v>
      </c>
      <c r="G19" s="107">
        <v>12</v>
      </c>
      <c r="H19" s="107">
        <v>5</v>
      </c>
      <c r="I19" s="107" t="s">
        <v>43</v>
      </c>
      <c r="J19" s="40" t="s">
        <v>18</v>
      </c>
      <c r="K19" s="39" t="s">
        <v>160</v>
      </c>
      <c r="L19" s="110"/>
      <c r="M19" s="99"/>
      <c r="N19" s="100"/>
      <c r="O19" s="115"/>
      <c r="P19" s="113"/>
      <c r="Q19" s="124"/>
      <c r="R19" s="25"/>
      <c r="S19" s="245" t="s">
        <v>401</v>
      </c>
    </row>
    <row r="20" spans="1:21" s="24" customFormat="1" ht="12.75" customHeight="1" x14ac:dyDescent="0.2">
      <c r="A20" s="340"/>
      <c r="B20" s="106"/>
      <c r="C20" s="337"/>
      <c r="D20" s="28"/>
      <c r="E20" s="340"/>
      <c r="F20" s="343"/>
      <c r="G20" s="107">
        <v>12</v>
      </c>
      <c r="H20" s="107">
        <v>5</v>
      </c>
      <c r="I20" s="107" t="s">
        <v>43</v>
      </c>
      <c r="J20" s="40" t="s">
        <v>18</v>
      </c>
      <c r="K20" s="39" t="s">
        <v>159</v>
      </c>
      <c r="L20" s="110"/>
      <c r="M20" s="99"/>
      <c r="N20" s="100"/>
      <c r="O20" s="115"/>
      <c r="P20" s="113"/>
      <c r="Q20" s="124"/>
      <c r="R20" s="25"/>
      <c r="S20" s="245" t="s">
        <v>401</v>
      </c>
    </row>
    <row r="21" spans="1:21" s="24" customFormat="1" ht="12.75" customHeight="1" x14ac:dyDescent="0.2">
      <c r="A21" s="106">
        <v>1618</v>
      </c>
      <c r="B21" s="106"/>
      <c r="C21" s="29" t="s">
        <v>158</v>
      </c>
      <c r="D21" s="28"/>
      <c r="E21" s="106">
        <v>21</v>
      </c>
      <c r="F21" s="107" t="s">
        <v>54</v>
      </c>
      <c r="G21" s="107">
        <v>10</v>
      </c>
      <c r="H21" s="107">
        <v>4</v>
      </c>
      <c r="I21" s="107" t="s">
        <v>43</v>
      </c>
      <c r="J21" s="40" t="s">
        <v>18</v>
      </c>
      <c r="K21" s="39" t="s">
        <v>157</v>
      </c>
      <c r="L21" s="110"/>
      <c r="M21" s="99"/>
      <c r="N21" s="100"/>
      <c r="O21" s="115"/>
      <c r="P21" s="113"/>
      <c r="Q21" s="124"/>
      <c r="R21" s="25"/>
      <c r="S21" s="245" t="s">
        <v>401</v>
      </c>
    </row>
    <row r="22" spans="1:21" s="24" customFormat="1" ht="12.75" customHeight="1" x14ac:dyDescent="0.2">
      <c r="A22" s="106">
        <v>1707</v>
      </c>
      <c r="B22" s="106"/>
      <c r="C22" s="29" t="s">
        <v>156</v>
      </c>
      <c r="D22" s="28"/>
      <c r="E22" s="106">
        <v>19</v>
      </c>
      <c r="F22" s="107" t="s">
        <v>54</v>
      </c>
      <c r="G22" s="107">
        <v>10</v>
      </c>
      <c r="H22" s="107">
        <v>4</v>
      </c>
      <c r="I22" s="107" t="s">
        <v>43</v>
      </c>
      <c r="J22" s="40" t="s">
        <v>18</v>
      </c>
      <c r="K22" s="39" t="s">
        <v>155</v>
      </c>
      <c r="L22" s="110"/>
      <c r="M22" s="99"/>
      <c r="N22" s="100"/>
      <c r="O22" s="115"/>
      <c r="P22" s="113"/>
      <c r="Q22" s="124"/>
      <c r="R22" s="25"/>
      <c r="S22" s="245" t="s">
        <v>402</v>
      </c>
    </row>
    <row r="23" spans="1:21" s="24" customFormat="1" ht="12.75" customHeight="1" x14ac:dyDescent="0.2">
      <c r="A23" s="16"/>
      <c r="B23" s="16"/>
      <c r="C23" s="16"/>
      <c r="D23" s="16"/>
      <c r="E23" s="16"/>
      <c r="F23" s="17"/>
      <c r="G23" s="16"/>
      <c r="H23" s="16"/>
      <c r="I23" s="16"/>
      <c r="J23" s="16"/>
      <c r="K23" s="16"/>
      <c r="L23" s="110"/>
      <c r="M23" s="99"/>
      <c r="N23" s="100"/>
      <c r="O23" s="115"/>
      <c r="P23" s="113"/>
      <c r="Q23" s="124"/>
      <c r="R23" s="25"/>
    </row>
    <row r="24" spans="1:21" s="24" customFormat="1" ht="17.25" customHeight="1" x14ac:dyDescent="0.3">
      <c r="A24" s="16"/>
      <c r="B24" s="16"/>
      <c r="C24" s="16"/>
      <c r="D24" s="16"/>
      <c r="E24" s="16"/>
      <c r="F24" s="26" t="s">
        <v>42</v>
      </c>
      <c r="G24" s="32">
        <f>SUM(G7:G22)</f>
        <v>154</v>
      </c>
      <c r="H24" s="32"/>
      <c r="I24" s="16"/>
      <c r="J24" s="16"/>
      <c r="K24" s="16"/>
      <c r="L24" s="110"/>
      <c r="M24" s="99"/>
      <c r="N24" s="100"/>
      <c r="O24" s="115"/>
      <c r="P24" s="113"/>
      <c r="Q24" s="124"/>
      <c r="R24" s="25"/>
    </row>
    <row r="25" spans="1:21" s="24" customFormat="1" ht="12.75" customHeight="1" x14ac:dyDescent="0.2">
      <c r="A25" s="16"/>
      <c r="B25" s="16"/>
      <c r="C25" s="16"/>
      <c r="D25" s="16"/>
      <c r="E25" s="16"/>
      <c r="F25" s="17"/>
      <c r="G25" s="16"/>
      <c r="H25" s="16"/>
      <c r="I25" s="16"/>
      <c r="J25" s="16"/>
      <c r="K25" s="16"/>
      <c r="L25" s="110"/>
      <c r="M25" s="99"/>
      <c r="N25" s="100"/>
      <c r="O25" s="115"/>
      <c r="P25" s="113"/>
      <c r="Q25" s="124"/>
      <c r="R25" s="25"/>
    </row>
    <row r="26" spans="1:21" s="24" customFormat="1" ht="12.75" customHeight="1" x14ac:dyDescent="0.2">
      <c r="A26" s="16"/>
      <c r="B26" s="16"/>
      <c r="C26" s="16"/>
      <c r="D26" s="16"/>
      <c r="E26" s="16"/>
      <c r="F26" s="17"/>
      <c r="G26" s="16"/>
      <c r="H26" s="16"/>
      <c r="I26" s="16"/>
      <c r="J26" s="16"/>
      <c r="K26" s="16"/>
      <c r="L26" s="110"/>
      <c r="M26" s="99"/>
      <c r="N26" s="100"/>
      <c r="O26" s="115"/>
      <c r="P26" s="113"/>
      <c r="Q26" s="124"/>
      <c r="R26" s="25"/>
    </row>
    <row r="27" spans="1:21" s="24" customFormat="1" ht="12.75" customHeight="1" x14ac:dyDescent="0.2">
      <c r="A27" s="16"/>
      <c r="B27" s="16"/>
      <c r="C27" s="16"/>
      <c r="D27" s="16"/>
      <c r="E27" s="16"/>
      <c r="F27" s="17"/>
      <c r="G27" s="16"/>
      <c r="H27" s="16"/>
      <c r="I27" s="16"/>
      <c r="J27" s="16"/>
      <c r="K27" s="16"/>
      <c r="L27" s="110"/>
      <c r="M27" s="99"/>
      <c r="N27" s="100"/>
      <c r="O27" s="115"/>
      <c r="P27" s="113"/>
      <c r="Q27" s="124"/>
      <c r="R27" s="25"/>
    </row>
    <row r="28" spans="1:21" s="24" customFormat="1" ht="12.75" customHeight="1" x14ac:dyDescent="0.2">
      <c r="A28" s="16"/>
      <c r="B28" s="16"/>
      <c r="C28" s="16"/>
      <c r="D28" s="16"/>
      <c r="E28" s="16"/>
      <c r="F28" s="17"/>
      <c r="G28" s="16"/>
      <c r="H28" s="16"/>
      <c r="I28" s="16"/>
      <c r="J28" s="16"/>
      <c r="K28" s="16"/>
      <c r="L28" s="110"/>
      <c r="M28" s="99"/>
      <c r="N28" s="100"/>
      <c r="O28" s="115"/>
      <c r="P28" s="113"/>
      <c r="Q28" s="124"/>
      <c r="R28" s="25"/>
    </row>
    <row r="29" spans="1:21" s="24" customFormat="1" ht="12.75" customHeight="1" x14ac:dyDescent="0.2">
      <c r="A29" s="16"/>
      <c r="B29" s="16"/>
      <c r="C29" s="16"/>
      <c r="D29" s="16"/>
      <c r="E29" s="16"/>
      <c r="F29" s="17"/>
      <c r="G29" s="16"/>
      <c r="H29" s="16"/>
      <c r="I29" s="16"/>
      <c r="J29" s="16"/>
      <c r="K29" s="16"/>
      <c r="L29" s="110"/>
      <c r="M29" s="99"/>
      <c r="N29" s="100"/>
      <c r="O29" s="115"/>
      <c r="P29" s="113"/>
      <c r="Q29" s="124"/>
      <c r="R29" s="25"/>
    </row>
    <row r="30" spans="1:21" hidden="1" x14ac:dyDescent="0.2">
      <c r="L30" s="107" t="s">
        <v>41</v>
      </c>
      <c r="M30" s="356" t="s">
        <v>40</v>
      </c>
      <c r="N30" s="357"/>
      <c r="O30" s="23">
        <v>1632000</v>
      </c>
      <c r="P30" s="350">
        <v>27.2</v>
      </c>
      <c r="Q30" s="351"/>
      <c r="R30" s="94">
        <v>27.2</v>
      </c>
    </row>
    <row r="31" spans="1:21" hidden="1" x14ac:dyDescent="0.2">
      <c r="L31" s="107" t="s">
        <v>41</v>
      </c>
      <c r="M31" s="352" t="s">
        <v>40</v>
      </c>
      <c r="N31" s="353"/>
      <c r="O31" s="21">
        <v>2108400</v>
      </c>
      <c r="P31" s="354">
        <v>35.14</v>
      </c>
      <c r="Q31" s="355"/>
      <c r="R31" s="95">
        <v>35.14</v>
      </c>
    </row>
    <row r="32" spans="1:21" x14ac:dyDescent="0.2">
      <c r="R32" s="20">
        <f>SUM(R5:R31)</f>
        <v>150.19</v>
      </c>
      <c r="S32" s="19"/>
      <c r="T32" s="19"/>
      <c r="U32" s="19"/>
    </row>
    <row r="33" spans="19:21" x14ac:dyDescent="0.2">
      <c r="S33" s="18"/>
      <c r="T33" s="18"/>
      <c r="U33" s="18"/>
    </row>
  </sheetData>
  <mergeCells count="47">
    <mergeCell ref="A17:A18"/>
    <mergeCell ref="C11:C12"/>
    <mergeCell ref="A8:A10"/>
    <mergeCell ref="C8:C10"/>
    <mergeCell ref="E8:E10"/>
    <mergeCell ref="A13:A15"/>
    <mergeCell ref="C13:C15"/>
    <mergeCell ref="E13:E15"/>
    <mergeCell ref="F13:F15"/>
    <mergeCell ref="E11:E12"/>
    <mergeCell ref="F11:F12"/>
    <mergeCell ref="P5:Q5"/>
    <mergeCell ref="M5:N5"/>
    <mergeCell ref="F5:F6"/>
    <mergeCell ref="D5:D6"/>
    <mergeCell ref="P31:Q31"/>
    <mergeCell ref="M30:N30"/>
    <mergeCell ref="M31:N31"/>
    <mergeCell ref="P30:Q30"/>
    <mergeCell ref="F8:F10"/>
    <mergeCell ref="J4:K4"/>
    <mergeCell ref="B5:B6"/>
    <mergeCell ref="C5:C6"/>
    <mergeCell ref="M3:N3"/>
    <mergeCell ref="M2:N2"/>
    <mergeCell ref="M4:N4"/>
    <mergeCell ref="A1:C1"/>
    <mergeCell ref="A2:A3"/>
    <mergeCell ref="E2:E4"/>
    <mergeCell ref="B2:B4"/>
    <mergeCell ref="D2:D4"/>
    <mergeCell ref="S2:S4"/>
    <mergeCell ref="C17:C18"/>
    <mergeCell ref="E17:E18"/>
    <mergeCell ref="F17:F18"/>
    <mergeCell ref="A19:A20"/>
    <mergeCell ref="C19:C20"/>
    <mergeCell ref="E19:E20"/>
    <mergeCell ref="F19:F20"/>
    <mergeCell ref="E5:E6"/>
    <mergeCell ref="A11:A12"/>
    <mergeCell ref="L5:L6"/>
    <mergeCell ref="G5:K6"/>
    <mergeCell ref="A5:A6"/>
    <mergeCell ref="P2:Q4"/>
    <mergeCell ref="G2:K2"/>
    <mergeCell ref="J3:K3"/>
  </mergeCells>
  <printOptions horizontalCentered="1" verticalCentered="1"/>
  <pageMargins left="0.23622047244094491" right="0.23622047244094491" top="0.78740157480314965" bottom="0.78740157480314965" header="0.19685039370078741" footer="0.19685039370078741"/>
  <pageSetup paperSize="9" scale="89" orientation="landscape" horizontalDpi="300" verticalDpi="300" r:id="rId1"/>
  <headerFooter alignWithMargins="0">
    <oddHeader>&amp;L&amp;G&amp;C&amp;"-,Negrita"&amp;18&amp;A&amp;R&amp;G</oddHeader>
    <oddFooter>&amp;C&amp;"-,Negrita"&amp;10Ministerio de Obras Públicas y Comunicaciones&amp;"-,Normal"
Oliva y Alberdi Nº 411, C.P. Nº 1221, Asunción, Paraguay
Tel: 595 (021) 4149000
&amp;R&amp;10Dirección de Caminos Vecinales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4"/>
  <sheetViews>
    <sheetView view="pageBreakPreview" zoomScaleNormal="140" zoomScaleSheetLayoutView="100" workbookViewId="0">
      <selection activeCell="G28" sqref="G28"/>
    </sheetView>
  </sheetViews>
  <sheetFormatPr defaultColWidth="11.42578125" defaultRowHeight="12.75" x14ac:dyDescent="0.2"/>
  <cols>
    <col min="1" max="1" width="14" style="16" customWidth="1"/>
    <col min="2" max="2" width="14" style="16" hidden="1" customWidth="1"/>
    <col min="3" max="3" width="47.5703125" style="17" customWidth="1"/>
    <col min="4" max="4" width="22.5703125" style="16" hidden="1" customWidth="1"/>
    <col min="5" max="5" width="9.7109375" style="16" customWidth="1"/>
    <col min="6" max="6" width="9.5703125" style="17" customWidth="1"/>
    <col min="7" max="7" width="12.5703125" style="16" customWidth="1"/>
    <col min="8" max="9" width="9.5703125" style="16" customWidth="1"/>
    <col min="10" max="10" width="29.85546875" style="16" customWidth="1"/>
    <col min="11" max="11" width="24.85546875" style="16" hidden="1" customWidth="1"/>
    <col min="12" max="13" width="12.28515625" style="16" hidden="1" customWidth="1"/>
    <col min="14" max="14" width="15.5703125" style="16" hidden="1" customWidth="1"/>
    <col min="15" max="16" width="0" style="16" hidden="1" customWidth="1"/>
    <col min="17" max="17" width="19.28515625" style="16" hidden="1" customWidth="1"/>
    <col min="18" max="18" width="12.28515625" style="16" customWidth="1"/>
    <col min="19" max="16384" width="11.42578125" style="16"/>
  </cols>
  <sheetData>
    <row r="1" spans="1:20" ht="16.5" x14ac:dyDescent="0.3">
      <c r="A1" s="358" t="s">
        <v>200</v>
      </c>
      <c r="B1" s="358"/>
      <c r="C1" s="359"/>
      <c r="D1" s="31"/>
    </row>
    <row r="2" spans="1:20" s="30" customFormat="1" x14ac:dyDescent="0.2">
      <c r="A2" s="331" t="s">
        <v>96</v>
      </c>
      <c r="B2" s="328" t="s">
        <v>91</v>
      </c>
      <c r="C2" s="122" t="s">
        <v>90</v>
      </c>
      <c r="D2" s="328" t="s">
        <v>89</v>
      </c>
      <c r="E2" s="328" t="s">
        <v>88</v>
      </c>
      <c r="F2" s="120"/>
      <c r="G2" s="328" t="s">
        <v>87</v>
      </c>
      <c r="H2" s="328"/>
      <c r="I2" s="328"/>
      <c r="J2" s="328"/>
      <c r="K2" s="129"/>
      <c r="L2" s="344"/>
      <c r="M2" s="345"/>
      <c r="N2" s="129"/>
      <c r="O2" s="344" t="s">
        <v>86</v>
      </c>
      <c r="P2" s="345"/>
      <c r="Q2" s="130"/>
      <c r="R2" s="328" t="s">
        <v>367</v>
      </c>
    </row>
    <row r="3" spans="1:20" s="30" customFormat="1" ht="38.25" x14ac:dyDescent="0.2">
      <c r="A3" s="331"/>
      <c r="B3" s="328"/>
      <c r="C3" s="120" t="s">
        <v>85</v>
      </c>
      <c r="D3" s="328"/>
      <c r="E3" s="328"/>
      <c r="F3" s="120" t="s">
        <v>84</v>
      </c>
      <c r="G3" s="120" t="s">
        <v>83</v>
      </c>
      <c r="H3" s="120" t="s">
        <v>82</v>
      </c>
      <c r="I3" s="120" t="s">
        <v>81</v>
      </c>
      <c r="J3" s="120" t="s">
        <v>80</v>
      </c>
      <c r="K3" s="131" t="s">
        <v>79</v>
      </c>
      <c r="L3" s="346" t="s">
        <v>78</v>
      </c>
      <c r="M3" s="347"/>
      <c r="N3" s="131" t="s">
        <v>77</v>
      </c>
      <c r="O3" s="346"/>
      <c r="P3" s="347"/>
      <c r="Q3" s="132" t="s">
        <v>76</v>
      </c>
      <c r="R3" s="328"/>
    </row>
    <row r="4" spans="1:20" s="30" customFormat="1" x14ac:dyDescent="0.2">
      <c r="A4" s="122" t="s">
        <v>75</v>
      </c>
      <c r="B4" s="328"/>
      <c r="C4" s="121" t="s">
        <v>74</v>
      </c>
      <c r="D4" s="328"/>
      <c r="E4" s="328"/>
      <c r="F4" s="120"/>
      <c r="G4" s="120"/>
      <c r="H4" s="120"/>
      <c r="I4" s="120"/>
      <c r="J4" s="120"/>
      <c r="K4" s="133"/>
      <c r="L4" s="348"/>
      <c r="M4" s="349"/>
      <c r="N4" s="133"/>
      <c r="O4" s="348"/>
      <c r="P4" s="349"/>
      <c r="Q4" s="134"/>
      <c r="R4" s="328"/>
    </row>
    <row r="5" spans="1:20" s="24" customFormat="1" ht="15" x14ac:dyDescent="0.2">
      <c r="A5" s="196" t="s">
        <v>198</v>
      </c>
      <c r="B5" s="196"/>
      <c r="C5" s="198" t="s">
        <v>197</v>
      </c>
      <c r="D5" s="28"/>
      <c r="E5" s="196">
        <v>13</v>
      </c>
      <c r="F5" s="197" t="s">
        <v>54</v>
      </c>
      <c r="G5" s="197">
        <v>7</v>
      </c>
      <c r="H5" s="197">
        <v>4</v>
      </c>
      <c r="I5" s="197" t="s">
        <v>43</v>
      </c>
      <c r="J5" s="197" t="s">
        <v>196</v>
      </c>
      <c r="K5" s="201"/>
      <c r="L5" s="199"/>
      <c r="M5" s="200"/>
      <c r="N5" s="202"/>
      <c r="O5" s="203"/>
      <c r="P5" s="204"/>
      <c r="Q5" s="25"/>
      <c r="R5" s="245" t="s">
        <v>404</v>
      </c>
    </row>
    <row r="6" spans="1:20" s="24" customFormat="1" ht="15" x14ac:dyDescent="0.2">
      <c r="A6" s="196" t="s">
        <v>195</v>
      </c>
      <c r="B6" s="196"/>
      <c r="C6" s="198" t="s">
        <v>194</v>
      </c>
      <c r="D6" s="28"/>
      <c r="E6" s="196">
        <v>37</v>
      </c>
      <c r="F6" s="197" t="s">
        <v>54</v>
      </c>
      <c r="G6" s="197">
        <v>17</v>
      </c>
      <c r="H6" s="197">
        <v>4</v>
      </c>
      <c r="I6" s="197" t="s">
        <v>43</v>
      </c>
      <c r="J6" s="197" t="s">
        <v>193</v>
      </c>
      <c r="K6" s="201"/>
      <c r="L6" s="199"/>
      <c r="M6" s="200"/>
      <c r="N6" s="202"/>
      <c r="O6" s="203"/>
      <c r="P6" s="204"/>
      <c r="Q6" s="25"/>
      <c r="R6" s="245" t="s">
        <v>405</v>
      </c>
    </row>
    <row r="7" spans="1:20" s="24" customFormat="1" ht="15" x14ac:dyDescent="0.2">
      <c r="A7" s="327" t="s">
        <v>192</v>
      </c>
      <c r="B7" s="196"/>
      <c r="C7" s="334" t="s">
        <v>191</v>
      </c>
      <c r="D7" s="28"/>
      <c r="E7" s="327">
        <v>21</v>
      </c>
      <c r="F7" s="324" t="s">
        <v>54</v>
      </c>
      <c r="G7" s="197">
        <v>5</v>
      </c>
      <c r="H7" s="197">
        <v>4</v>
      </c>
      <c r="I7" s="197" t="s">
        <v>43</v>
      </c>
      <c r="J7" s="197" t="s">
        <v>190</v>
      </c>
      <c r="K7" s="201"/>
      <c r="L7" s="199"/>
      <c r="M7" s="200"/>
      <c r="N7" s="202"/>
      <c r="O7" s="203"/>
      <c r="P7" s="204"/>
      <c r="Q7" s="25"/>
      <c r="R7" s="245" t="s">
        <v>406</v>
      </c>
    </row>
    <row r="8" spans="1:20" s="24" customFormat="1" ht="15" x14ac:dyDescent="0.2">
      <c r="A8" s="327"/>
      <c r="B8" s="196"/>
      <c r="C8" s="334"/>
      <c r="D8" s="28"/>
      <c r="E8" s="327"/>
      <c r="F8" s="324"/>
      <c r="G8" s="197">
        <v>5</v>
      </c>
      <c r="H8" s="197">
        <v>4</v>
      </c>
      <c r="I8" s="197" t="s">
        <v>43</v>
      </c>
      <c r="J8" s="197" t="s">
        <v>189</v>
      </c>
      <c r="K8" s="201"/>
      <c r="L8" s="199"/>
      <c r="M8" s="200"/>
      <c r="N8" s="202"/>
      <c r="O8" s="203"/>
      <c r="P8" s="204"/>
      <c r="Q8" s="25"/>
      <c r="R8" s="245" t="s">
        <v>406</v>
      </c>
    </row>
    <row r="9" spans="1:20" s="24" customFormat="1" ht="15" x14ac:dyDescent="0.2">
      <c r="A9" s="327" t="s">
        <v>188</v>
      </c>
      <c r="B9" s="196"/>
      <c r="C9" s="334" t="s">
        <v>340</v>
      </c>
      <c r="D9" s="28"/>
      <c r="E9" s="327">
        <v>59</v>
      </c>
      <c r="F9" s="324" t="s">
        <v>54</v>
      </c>
      <c r="G9" s="197">
        <v>8</v>
      </c>
      <c r="H9" s="197">
        <v>4</v>
      </c>
      <c r="I9" s="197" t="s">
        <v>43</v>
      </c>
      <c r="J9" s="197" t="s">
        <v>187</v>
      </c>
      <c r="K9" s="201"/>
      <c r="L9" s="199"/>
      <c r="M9" s="200"/>
      <c r="N9" s="202"/>
      <c r="O9" s="203"/>
      <c r="P9" s="204"/>
      <c r="Q9" s="25"/>
      <c r="R9" s="245" t="s">
        <v>407</v>
      </c>
    </row>
    <row r="10" spans="1:20" s="24" customFormat="1" ht="15" x14ac:dyDescent="0.2">
      <c r="A10" s="327"/>
      <c r="B10" s="196"/>
      <c r="C10" s="334"/>
      <c r="D10" s="28"/>
      <c r="E10" s="327"/>
      <c r="F10" s="324"/>
      <c r="G10" s="197">
        <v>5</v>
      </c>
      <c r="H10" s="197">
        <v>4</v>
      </c>
      <c r="I10" s="197" t="s">
        <v>43</v>
      </c>
      <c r="J10" s="197" t="s">
        <v>186</v>
      </c>
      <c r="K10" s="201"/>
      <c r="L10" s="199"/>
      <c r="M10" s="200"/>
      <c r="N10" s="202"/>
      <c r="O10" s="203"/>
      <c r="P10" s="204"/>
      <c r="Q10" s="25"/>
      <c r="R10" s="245" t="s">
        <v>407</v>
      </c>
    </row>
    <row r="11" spans="1:20" s="24" customFormat="1" ht="15" x14ac:dyDescent="0.2">
      <c r="A11" s="327"/>
      <c r="B11" s="196"/>
      <c r="C11" s="334"/>
      <c r="D11" s="28"/>
      <c r="E11" s="327"/>
      <c r="F11" s="324"/>
      <c r="G11" s="197">
        <v>10</v>
      </c>
      <c r="H11" s="197">
        <v>4</v>
      </c>
      <c r="I11" s="197" t="s">
        <v>43</v>
      </c>
      <c r="J11" s="197" t="s">
        <v>185</v>
      </c>
      <c r="K11" s="201"/>
      <c r="L11" s="199"/>
      <c r="M11" s="200"/>
      <c r="N11" s="202"/>
      <c r="O11" s="203"/>
      <c r="P11" s="204"/>
      <c r="Q11" s="25"/>
      <c r="R11" s="245" t="s">
        <v>407</v>
      </c>
    </row>
    <row r="12" spans="1:20" s="24" customFormat="1" ht="15" x14ac:dyDescent="0.2">
      <c r="A12" s="327"/>
      <c r="B12" s="196"/>
      <c r="C12" s="334"/>
      <c r="D12" s="28"/>
      <c r="E12" s="327"/>
      <c r="F12" s="324"/>
      <c r="G12" s="197">
        <v>10</v>
      </c>
      <c r="H12" s="197">
        <v>4</v>
      </c>
      <c r="I12" s="197" t="s">
        <v>43</v>
      </c>
      <c r="J12" s="197" t="s">
        <v>184</v>
      </c>
      <c r="K12" s="201"/>
      <c r="L12" s="199"/>
      <c r="M12" s="200"/>
      <c r="N12" s="202"/>
      <c r="O12" s="203"/>
      <c r="P12" s="204"/>
      <c r="Q12" s="25"/>
      <c r="R12" s="245" t="s">
        <v>407</v>
      </c>
    </row>
    <row r="13" spans="1:20" s="24" customFormat="1" ht="15" x14ac:dyDescent="0.2">
      <c r="A13" s="196" t="s">
        <v>183</v>
      </c>
      <c r="B13" s="196"/>
      <c r="C13" s="198" t="s">
        <v>182</v>
      </c>
      <c r="D13" s="28"/>
      <c r="E13" s="196">
        <v>24</v>
      </c>
      <c r="F13" s="197" t="s">
        <v>54</v>
      </c>
      <c r="G13" s="197">
        <v>5</v>
      </c>
      <c r="H13" s="197">
        <v>5</v>
      </c>
      <c r="I13" s="197" t="s">
        <v>43</v>
      </c>
      <c r="J13" s="197" t="s">
        <v>181</v>
      </c>
      <c r="K13" s="201"/>
      <c r="L13" s="199"/>
      <c r="M13" s="200"/>
      <c r="N13" s="202"/>
      <c r="O13" s="203"/>
      <c r="P13" s="204"/>
      <c r="Q13" s="25"/>
      <c r="R13" s="245" t="s">
        <v>408</v>
      </c>
    </row>
    <row r="14" spans="1:20" ht="20.25" x14ac:dyDescent="0.3">
      <c r="F14" s="26" t="s">
        <v>42</v>
      </c>
      <c r="G14" s="32">
        <f>SUM(G5:G13)</f>
        <v>72</v>
      </c>
      <c r="H14" s="32"/>
      <c r="R14" s="18"/>
      <c r="S14" s="18"/>
      <c r="T14" s="18"/>
    </row>
  </sheetData>
  <mergeCells count="19">
    <mergeCell ref="A9:A12"/>
    <mergeCell ref="E9:E12"/>
    <mergeCell ref="A7:A8"/>
    <mergeCell ref="A1:C1"/>
    <mergeCell ref="A2:A3"/>
    <mergeCell ref="E2:E4"/>
    <mergeCell ref="B2:B4"/>
    <mergeCell ref="D2:D4"/>
    <mergeCell ref="R2:R4"/>
    <mergeCell ref="F9:F12"/>
    <mergeCell ref="F7:F8"/>
    <mergeCell ref="E7:E8"/>
    <mergeCell ref="C7:C8"/>
    <mergeCell ref="C9:C12"/>
    <mergeCell ref="O2:P4"/>
    <mergeCell ref="G2:J2"/>
    <mergeCell ref="L3:M3"/>
    <mergeCell ref="L2:M2"/>
    <mergeCell ref="L4:M4"/>
  </mergeCells>
  <printOptions horizontalCentered="1" verticalCentered="1"/>
  <pageMargins left="0.23622047244094491" right="0.23622047244094491" top="0.78740157480314965" bottom="0.78740157480314965" header="0.19685039370078741" footer="0.19685039370078741"/>
  <pageSetup paperSize="9" scale="92" orientation="landscape" horizontalDpi="300" verticalDpi="300" r:id="rId1"/>
  <headerFooter alignWithMargins="0">
    <oddHeader>&amp;L&amp;G&amp;C&amp;"-,Negrita"&amp;18&amp;A&amp;R&amp;G</oddHeader>
    <oddFooter>&amp;C&amp;"-,Negrita"&amp;10Ministerio de Obras Públicas y Comunicaciones&amp;"-,Normal"
Oliva y Alberdi Nº 411, C.P. Nº 1221, Asunción, Paraguay
Tel: 595 (021) 4149000
&amp;R&amp;10Dirección de Caminos Vecinales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3"/>
  <sheetViews>
    <sheetView view="pageBreakPreview" zoomScaleNormal="140" zoomScaleSheetLayoutView="100" workbookViewId="0">
      <selection activeCell="G39" sqref="G39"/>
    </sheetView>
  </sheetViews>
  <sheetFormatPr defaultColWidth="11.42578125" defaultRowHeight="12.75" x14ac:dyDescent="0.2"/>
  <cols>
    <col min="1" max="1" width="14" style="16" customWidth="1"/>
    <col min="2" max="2" width="14" style="16" hidden="1" customWidth="1"/>
    <col min="3" max="3" width="47.5703125" style="16" customWidth="1"/>
    <col min="4" max="4" width="22.5703125" style="16" hidden="1" customWidth="1"/>
    <col min="5" max="5" width="9.7109375" style="16" customWidth="1"/>
    <col min="6" max="6" width="12.42578125" style="17" customWidth="1"/>
    <col min="7" max="7" width="12" style="16" customWidth="1"/>
    <col min="8" max="9" width="9.5703125" style="16" customWidth="1"/>
    <col min="10" max="10" width="29.85546875" style="16" customWidth="1"/>
    <col min="11" max="11" width="24.85546875" style="16" hidden="1" customWidth="1"/>
    <col min="12" max="13" width="12.28515625" style="16" hidden="1" customWidth="1"/>
    <col min="14" max="14" width="15.5703125" style="16" hidden="1" customWidth="1"/>
    <col min="15" max="16" width="0" style="16" hidden="1" customWidth="1"/>
    <col min="17" max="17" width="19.28515625" style="16" hidden="1" customWidth="1"/>
    <col min="18" max="16384" width="11.42578125" style="16"/>
  </cols>
  <sheetData>
    <row r="1" spans="1:18" ht="16.5" x14ac:dyDescent="0.3">
      <c r="A1" s="358" t="s">
        <v>229</v>
      </c>
      <c r="B1" s="358"/>
      <c r="C1" s="359"/>
      <c r="D1" s="31"/>
    </row>
    <row r="2" spans="1:18" s="30" customFormat="1" ht="12.75" customHeight="1" x14ac:dyDescent="0.2">
      <c r="A2" s="310" t="s">
        <v>96</v>
      </c>
      <c r="B2" s="312" t="s">
        <v>91</v>
      </c>
      <c r="C2" s="122" t="s">
        <v>90</v>
      </c>
      <c r="D2" s="312" t="s">
        <v>89</v>
      </c>
      <c r="E2" s="312" t="s">
        <v>88</v>
      </c>
      <c r="F2" s="101"/>
      <c r="G2" s="289" t="s">
        <v>87</v>
      </c>
      <c r="H2" s="290"/>
      <c r="I2" s="290"/>
      <c r="J2" s="291"/>
      <c r="K2" s="129"/>
      <c r="L2" s="344"/>
      <c r="M2" s="345"/>
      <c r="N2" s="129"/>
      <c r="O2" s="344" t="s">
        <v>86</v>
      </c>
      <c r="P2" s="345"/>
      <c r="Q2" s="130"/>
      <c r="R2" s="312" t="s">
        <v>367</v>
      </c>
    </row>
    <row r="3" spans="1:18" s="30" customFormat="1" ht="67.5" customHeight="1" x14ac:dyDescent="0.2">
      <c r="A3" s="311"/>
      <c r="B3" s="313"/>
      <c r="C3" s="101" t="s">
        <v>85</v>
      </c>
      <c r="D3" s="313"/>
      <c r="E3" s="313"/>
      <c r="F3" s="102" t="s">
        <v>84</v>
      </c>
      <c r="G3" s="102" t="s">
        <v>83</v>
      </c>
      <c r="H3" s="102" t="s">
        <v>82</v>
      </c>
      <c r="I3" s="102" t="s">
        <v>81</v>
      </c>
      <c r="J3" s="102" t="s">
        <v>80</v>
      </c>
      <c r="K3" s="131" t="s">
        <v>79</v>
      </c>
      <c r="L3" s="346" t="s">
        <v>78</v>
      </c>
      <c r="M3" s="347"/>
      <c r="N3" s="131" t="s">
        <v>77</v>
      </c>
      <c r="O3" s="346"/>
      <c r="P3" s="347"/>
      <c r="Q3" s="132" t="s">
        <v>76</v>
      </c>
      <c r="R3" s="313"/>
    </row>
    <row r="4" spans="1:18" s="30" customFormat="1" x14ac:dyDescent="0.2">
      <c r="A4" s="122" t="s">
        <v>75</v>
      </c>
      <c r="B4" s="314"/>
      <c r="C4" s="121" t="s">
        <v>74</v>
      </c>
      <c r="D4" s="314"/>
      <c r="E4" s="314"/>
      <c r="F4" s="103"/>
      <c r="G4" s="103"/>
      <c r="H4" s="103"/>
      <c r="I4" s="103"/>
      <c r="J4" s="103"/>
      <c r="K4" s="133"/>
      <c r="L4" s="348"/>
      <c r="M4" s="349"/>
      <c r="N4" s="133"/>
      <c r="O4" s="348"/>
      <c r="P4" s="349"/>
      <c r="Q4" s="134"/>
      <c r="R4" s="314"/>
    </row>
    <row r="5" spans="1:18" s="24" customFormat="1" ht="12.75" hidden="1" customHeight="1" x14ac:dyDescent="0.2">
      <c r="A5" s="338">
        <v>132012</v>
      </c>
      <c r="B5" s="338" t="s">
        <v>73</v>
      </c>
      <c r="C5" s="388" t="s">
        <v>72</v>
      </c>
      <c r="D5" s="388" t="s">
        <v>71</v>
      </c>
      <c r="E5" s="338">
        <v>1</v>
      </c>
      <c r="F5" s="341" t="s">
        <v>54</v>
      </c>
      <c r="G5" s="390" t="s">
        <v>70</v>
      </c>
      <c r="H5" s="391"/>
      <c r="I5" s="391"/>
      <c r="J5" s="392"/>
      <c r="K5" s="341" t="s">
        <v>41</v>
      </c>
      <c r="L5" s="352" t="s">
        <v>69</v>
      </c>
      <c r="M5" s="353"/>
      <c r="N5" s="21">
        <v>5271000</v>
      </c>
      <c r="O5" s="354">
        <v>87.85</v>
      </c>
      <c r="P5" s="355"/>
      <c r="Q5" s="94">
        <v>87.85</v>
      </c>
    </row>
    <row r="6" spans="1:18" s="24" customFormat="1" ht="12.75" hidden="1" customHeight="1" x14ac:dyDescent="0.2">
      <c r="A6" s="340"/>
      <c r="B6" s="340"/>
      <c r="C6" s="389"/>
      <c r="D6" s="389"/>
      <c r="E6" s="340"/>
      <c r="F6" s="343"/>
      <c r="G6" s="393"/>
      <c r="H6" s="394"/>
      <c r="I6" s="394"/>
      <c r="J6" s="395"/>
      <c r="K6" s="343"/>
      <c r="L6" s="99"/>
      <c r="M6" s="100"/>
      <c r="N6" s="115"/>
      <c r="O6" s="95"/>
      <c r="P6" s="96"/>
      <c r="Q6" s="25"/>
    </row>
    <row r="7" spans="1:18" s="24" customFormat="1" ht="12.75" customHeight="1" x14ac:dyDescent="0.2">
      <c r="A7" s="106" t="s">
        <v>228</v>
      </c>
      <c r="B7" s="138" t="s">
        <v>199</v>
      </c>
      <c r="C7" s="108" t="s">
        <v>227</v>
      </c>
      <c r="D7" s="105"/>
      <c r="E7" s="106">
        <v>19</v>
      </c>
      <c r="F7" s="107" t="s">
        <v>54</v>
      </c>
      <c r="G7" s="107">
        <v>12</v>
      </c>
      <c r="H7" s="107">
        <v>3</v>
      </c>
      <c r="I7" s="107" t="s">
        <v>43</v>
      </c>
      <c r="J7" s="107" t="s">
        <v>226</v>
      </c>
      <c r="K7" s="110"/>
      <c r="L7" s="99"/>
      <c r="M7" s="100"/>
      <c r="N7" s="115"/>
      <c r="O7" s="113"/>
      <c r="P7" s="124"/>
      <c r="Q7" s="25"/>
      <c r="R7" s="245" t="s">
        <v>413</v>
      </c>
    </row>
    <row r="8" spans="1:18" s="24" customFormat="1" ht="12.75" customHeight="1" x14ac:dyDescent="0.2">
      <c r="A8" s="327" t="s">
        <v>225</v>
      </c>
      <c r="B8" s="106"/>
      <c r="C8" s="335" t="s">
        <v>354</v>
      </c>
      <c r="D8" s="105"/>
      <c r="E8" s="327">
        <v>39</v>
      </c>
      <c r="F8" s="324" t="s">
        <v>54</v>
      </c>
      <c r="G8" s="107">
        <v>6</v>
      </c>
      <c r="H8" s="107">
        <v>4</v>
      </c>
      <c r="I8" s="107" t="s">
        <v>43</v>
      </c>
      <c r="J8" s="107" t="s">
        <v>224</v>
      </c>
      <c r="K8" s="110"/>
      <c r="L8" s="99"/>
      <c r="M8" s="100"/>
      <c r="N8" s="115"/>
      <c r="O8" s="113"/>
      <c r="P8" s="124"/>
      <c r="Q8" s="25"/>
      <c r="R8" s="245" t="s">
        <v>412</v>
      </c>
    </row>
    <row r="9" spans="1:18" s="24" customFormat="1" ht="12.75" customHeight="1" x14ac:dyDescent="0.2">
      <c r="A9" s="327"/>
      <c r="B9" s="106"/>
      <c r="C9" s="336"/>
      <c r="D9" s="119"/>
      <c r="E9" s="327"/>
      <c r="F9" s="324"/>
      <c r="G9" s="107">
        <v>8</v>
      </c>
      <c r="H9" s="107">
        <v>4</v>
      </c>
      <c r="I9" s="107" t="s">
        <v>43</v>
      </c>
      <c r="J9" s="107" t="s">
        <v>210</v>
      </c>
      <c r="K9" s="110"/>
      <c r="L9" s="99"/>
      <c r="M9" s="100"/>
      <c r="N9" s="115"/>
      <c r="O9" s="113"/>
      <c r="P9" s="124"/>
      <c r="Q9" s="25"/>
      <c r="R9" s="245" t="s">
        <v>413</v>
      </c>
    </row>
    <row r="10" spans="1:18" s="24" customFormat="1" ht="12.75" customHeight="1" x14ac:dyDescent="0.2">
      <c r="A10" s="327"/>
      <c r="B10" s="106"/>
      <c r="C10" s="337"/>
      <c r="D10" s="105"/>
      <c r="E10" s="327"/>
      <c r="F10" s="324"/>
      <c r="G10" s="107">
        <v>6</v>
      </c>
      <c r="H10" s="107">
        <v>4</v>
      </c>
      <c r="I10" s="107" t="s">
        <v>43</v>
      </c>
      <c r="J10" s="107" t="s">
        <v>223</v>
      </c>
      <c r="K10" s="110"/>
      <c r="L10" s="99"/>
      <c r="M10" s="100"/>
      <c r="N10" s="115"/>
      <c r="O10" s="113"/>
      <c r="P10" s="124"/>
      <c r="Q10" s="25"/>
      <c r="R10" s="245" t="s">
        <v>412</v>
      </c>
    </row>
    <row r="11" spans="1:18" s="24" customFormat="1" ht="12.75" customHeight="1" x14ac:dyDescent="0.2">
      <c r="A11" s="106" t="s">
        <v>222</v>
      </c>
      <c r="B11" s="106"/>
      <c r="C11" s="29" t="s">
        <v>355</v>
      </c>
      <c r="D11" s="119"/>
      <c r="E11" s="106">
        <v>46</v>
      </c>
      <c r="F11" s="107" t="s">
        <v>54</v>
      </c>
      <c r="G11" s="107">
        <v>12</v>
      </c>
      <c r="H11" s="107">
        <v>4</v>
      </c>
      <c r="I11" s="107" t="s">
        <v>43</v>
      </c>
      <c r="J11" s="107" t="s">
        <v>221</v>
      </c>
      <c r="K11" s="110"/>
      <c r="L11" s="99"/>
      <c r="M11" s="100"/>
      <c r="N11" s="115"/>
      <c r="O11" s="113"/>
      <c r="P11" s="124"/>
      <c r="Q11" s="25"/>
      <c r="R11" s="245" t="s">
        <v>411</v>
      </c>
    </row>
    <row r="12" spans="1:18" s="24" customFormat="1" ht="12.75" customHeight="1" x14ac:dyDescent="0.2">
      <c r="A12" s="327" t="s">
        <v>220</v>
      </c>
      <c r="B12" s="106"/>
      <c r="C12" s="326" t="s">
        <v>356</v>
      </c>
      <c r="D12" s="119"/>
      <c r="E12" s="327">
        <v>54</v>
      </c>
      <c r="F12" s="324" t="s">
        <v>54</v>
      </c>
      <c r="G12" s="107">
        <v>5</v>
      </c>
      <c r="H12" s="107">
        <v>4</v>
      </c>
      <c r="I12" s="107" t="s">
        <v>43</v>
      </c>
      <c r="J12" s="107" t="s">
        <v>219</v>
      </c>
      <c r="K12" s="110"/>
      <c r="L12" s="99"/>
      <c r="M12" s="100"/>
      <c r="N12" s="115"/>
      <c r="O12" s="113"/>
      <c r="P12" s="124"/>
      <c r="Q12" s="25"/>
      <c r="R12" s="245" t="s">
        <v>410</v>
      </c>
    </row>
    <row r="13" spans="1:18" s="24" customFormat="1" ht="12.75" customHeight="1" x14ac:dyDescent="0.2">
      <c r="A13" s="327"/>
      <c r="B13" s="106"/>
      <c r="C13" s="326"/>
      <c r="D13" s="119"/>
      <c r="E13" s="327"/>
      <c r="F13" s="324"/>
      <c r="G13" s="107">
        <v>6</v>
      </c>
      <c r="H13" s="107">
        <v>4</v>
      </c>
      <c r="I13" s="107" t="s">
        <v>43</v>
      </c>
      <c r="J13" s="107" t="s">
        <v>218</v>
      </c>
      <c r="K13" s="110"/>
      <c r="L13" s="99"/>
      <c r="M13" s="100"/>
      <c r="N13" s="115"/>
      <c r="O13" s="113"/>
      <c r="P13" s="124"/>
      <c r="Q13" s="25"/>
      <c r="R13" s="245" t="s">
        <v>410</v>
      </c>
    </row>
    <row r="14" spans="1:18" s="24" customFormat="1" ht="12.75" customHeight="1" x14ac:dyDescent="0.2">
      <c r="A14" s="327"/>
      <c r="B14" s="106"/>
      <c r="C14" s="326"/>
      <c r="D14" s="119"/>
      <c r="E14" s="327"/>
      <c r="F14" s="324"/>
      <c r="G14" s="107">
        <v>6</v>
      </c>
      <c r="H14" s="107">
        <v>4</v>
      </c>
      <c r="I14" s="107" t="s">
        <v>43</v>
      </c>
      <c r="J14" s="107" t="s">
        <v>217</v>
      </c>
      <c r="K14" s="110"/>
      <c r="L14" s="99"/>
      <c r="M14" s="100"/>
      <c r="N14" s="115"/>
      <c r="O14" s="113"/>
      <c r="P14" s="124"/>
      <c r="Q14" s="25"/>
      <c r="R14" s="245" t="s">
        <v>410</v>
      </c>
    </row>
    <row r="15" spans="1:18" s="24" customFormat="1" ht="12.75" customHeight="1" x14ac:dyDescent="0.2">
      <c r="A15" s="327" t="s">
        <v>216</v>
      </c>
      <c r="B15" s="106"/>
      <c r="C15" s="326" t="s">
        <v>357</v>
      </c>
      <c r="D15" s="119"/>
      <c r="E15" s="327">
        <v>60</v>
      </c>
      <c r="F15" s="324" t="s">
        <v>54</v>
      </c>
      <c r="G15" s="107">
        <v>9</v>
      </c>
      <c r="H15" s="107">
        <v>3</v>
      </c>
      <c r="I15" s="107" t="s">
        <v>43</v>
      </c>
      <c r="J15" s="107" t="s">
        <v>215</v>
      </c>
      <c r="K15" s="110"/>
      <c r="L15" s="99"/>
      <c r="M15" s="100"/>
      <c r="N15" s="115"/>
      <c r="O15" s="113"/>
      <c r="P15" s="124"/>
      <c r="Q15" s="25"/>
      <c r="R15" s="245" t="s">
        <v>409</v>
      </c>
    </row>
    <row r="16" spans="1:18" s="24" customFormat="1" ht="12.75" customHeight="1" x14ac:dyDescent="0.2">
      <c r="A16" s="327"/>
      <c r="B16" s="106"/>
      <c r="C16" s="326"/>
      <c r="D16" s="119"/>
      <c r="E16" s="327"/>
      <c r="F16" s="324"/>
      <c r="G16" s="107">
        <v>7</v>
      </c>
      <c r="H16" s="107">
        <v>3</v>
      </c>
      <c r="I16" s="107" t="s">
        <v>43</v>
      </c>
      <c r="J16" s="107" t="s">
        <v>214</v>
      </c>
      <c r="K16" s="110"/>
      <c r="L16" s="99"/>
      <c r="M16" s="100"/>
      <c r="N16" s="115"/>
      <c r="O16" s="113"/>
      <c r="P16" s="124"/>
      <c r="Q16" s="25"/>
      <c r="R16" s="245" t="s">
        <v>409</v>
      </c>
    </row>
    <row r="17" spans="1:20" s="24" customFormat="1" ht="12.75" customHeight="1" x14ac:dyDescent="0.2">
      <c r="A17" s="327"/>
      <c r="B17" s="106"/>
      <c r="C17" s="326"/>
      <c r="D17" s="119"/>
      <c r="E17" s="327"/>
      <c r="F17" s="324"/>
      <c r="G17" s="107">
        <v>10</v>
      </c>
      <c r="H17" s="107">
        <v>3</v>
      </c>
      <c r="I17" s="107" t="s">
        <v>43</v>
      </c>
      <c r="J17" s="107" t="s">
        <v>213</v>
      </c>
      <c r="K17" s="110"/>
      <c r="L17" s="99"/>
      <c r="M17" s="100"/>
      <c r="N17" s="115"/>
      <c r="O17" s="113"/>
      <c r="P17" s="124"/>
      <c r="Q17" s="25"/>
      <c r="R17" s="245" t="s">
        <v>409</v>
      </c>
    </row>
    <row r="18" spans="1:20" s="24" customFormat="1" ht="12.75" customHeight="1" x14ac:dyDescent="0.2">
      <c r="A18" s="106" t="s">
        <v>212</v>
      </c>
      <c r="B18" s="106"/>
      <c r="C18" s="108" t="s">
        <v>358</v>
      </c>
      <c r="D18" s="119"/>
      <c r="E18" s="106">
        <v>107</v>
      </c>
      <c r="F18" s="107" t="s">
        <v>54</v>
      </c>
      <c r="G18" s="107">
        <v>12</v>
      </c>
      <c r="H18" s="107">
        <v>5</v>
      </c>
      <c r="I18" s="107" t="s">
        <v>43</v>
      </c>
      <c r="J18" s="107" t="s">
        <v>211</v>
      </c>
      <c r="K18" s="110"/>
      <c r="L18" s="99"/>
      <c r="M18" s="100"/>
      <c r="N18" s="115"/>
      <c r="O18" s="113"/>
      <c r="P18" s="124"/>
      <c r="Q18" s="25"/>
      <c r="R18" s="245" t="s">
        <v>414</v>
      </c>
    </row>
    <row r="19" spans="1:20" s="24" customFormat="1" ht="12.75" customHeight="1" x14ac:dyDescent="0.2">
      <c r="A19" s="106" t="s">
        <v>209</v>
      </c>
      <c r="B19" s="106"/>
      <c r="C19" s="108" t="s">
        <v>353</v>
      </c>
      <c r="D19" s="119"/>
      <c r="E19" s="106">
        <v>192</v>
      </c>
      <c r="F19" s="107" t="s">
        <v>44</v>
      </c>
      <c r="G19" s="107">
        <v>12</v>
      </c>
      <c r="H19" s="107">
        <v>4</v>
      </c>
      <c r="I19" s="107" t="s">
        <v>43</v>
      </c>
      <c r="J19" s="107" t="s">
        <v>208</v>
      </c>
      <c r="K19" s="110"/>
      <c r="L19" s="99"/>
      <c r="M19" s="100"/>
      <c r="N19" s="115"/>
      <c r="O19" s="113"/>
      <c r="P19" s="124"/>
      <c r="Q19" s="25"/>
      <c r="R19" s="245" t="s">
        <v>411</v>
      </c>
    </row>
    <row r="20" spans="1:20" s="24" customFormat="1" ht="12.75" customHeight="1" x14ac:dyDescent="0.2">
      <c r="A20" s="106" t="s">
        <v>207</v>
      </c>
      <c r="B20" s="106"/>
      <c r="C20" s="108" t="s">
        <v>206</v>
      </c>
      <c r="D20" s="119"/>
      <c r="E20" s="106">
        <v>173</v>
      </c>
      <c r="F20" s="107" t="s">
        <v>44</v>
      </c>
      <c r="G20" s="107">
        <v>7</v>
      </c>
      <c r="H20" s="107">
        <v>4</v>
      </c>
      <c r="I20" s="107" t="s">
        <v>43</v>
      </c>
      <c r="J20" s="107" t="s">
        <v>205</v>
      </c>
      <c r="K20" s="110"/>
      <c r="L20" s="99"/>
      <c r="M20" s="100"/>
      <c r="N20" s="115"/>
      <c r="O20" s="113"/>
      <c r="P20" s="124"/>
      <c r="Q20" s="25"/>
      <c r="R20" s="245" t="s">
        <v>409</v>
      </c>
    </row>
    <row r="21" spans="1:20" s="24" customFormat="1" ht="12.75" customHeight="1" x14ac:dyDescent="0.2">
      <c r="A21" s="327" t="s">
        <v>204</v>
      </c>
      <c r="B21" s="106"/>
      <c r="C21" s="334" t="s">
        <v>203</v>
      </c>
      <c r="D21" s="119"/>
      <c r="E21" s="327">
        <v>185</v>
      </c>
      <c r="F21" s="324" t="s">
        <v>44</v>
      </c>
      <c r="G21" s="107">
        <v>8</v>
      </c>
      <c r="H21" s="107">
        <v>4</v>
      </c>
      <c r="I21" s="107" t="s">
        <v>43</v>
      </c>
      <c r="J21" s="107" t="s">
        <v>202</v>
      </c>
      <c r="K21" s="110"/>
      <c r="L21" s="99"/>
      <c r="M21" s="100"/>
      <c r="N21" s="115"/>
      <c r="O21" s="113"/>
      <c r="P21" s="124"/>
      <c r="Q21" s="25"/>
      <c r="R21" s="245" t="s">
        <v>413</v>
      </c>
    </row>
    <row r="22" spans="1:20" s="24" customFormat="1" ht="12.75" customHeight="1" x14ac:dyDescent="0.2">
      <c r="A22" s="327"/>
      <c r="B22" s="106"/>
      <c r="C22" s="334"/>
      <c r="D22" s="119"/>
      <c r="E22" s="327"/>
      <c r="F22" s="324"/>
      <c r="G22" s="107">
        <v>6</v>
      </c>
      <c r="H22" s="107">
        <v>4</v>
      </c>
      <c r="I22" s="107" t="s">
        <v>43</v>
      </c>
      <c r="J22" s="107" t="s">
        <v>201</v>
      </c>
      <c r="K22" s="110"/>
      <c r="L22" s="99"/>
      <c r="M22" s="100"/>
      <c r="N22" s="115"/>
      <c r="O22" s="113"/>
      <c r="P22" s="124"/>
      <c r="Q22" s="25"/>
      <c r="R22" s="245" t="s">
        <v>413</v>
      </c>
    </row>
    <row r="23" spans="1:20" s="24" customFormat="1" ht="12.75" customHeight="1" x14ac:dyDescent="0.2">
      <c r="A23" s="16"/>
      <c r="B23" s="16"/>
      <c r="C23" s="16"/>
      <c r="D23" s="16"/>
      <c r="E23" s="16"/>
      <c r="F23" s="17"/>
      <c r="G23" s="16"/>
      <c r="H23" s="16"/>
      <c r="I23" s="16"/>
      <c r="J23" s="16"/>
      <c r="K23" s="110"/>
      <c r="L23" s="99"/>
      <c r="M23" s="100"/>
      <c r="N23" s="115"/>
      <c r="O23" s="113"/>
      <c r="P23" s="124"/>
      <c r="Q23" s="25"/>
    </row>
    <row r="24" spans="1:20" s="24" customFormat="1" ht="17.25" customHeight="1" x14ac:dyDescent="0.3">
      <c r="A24" s="16"/>
      <c r="B24" s="16"/>
      <c r="C24" s="16"/>
      <c r="D24" s="16"/>
      <c r="E24" s="16"/>
      <c r="F24" s="26" t="s">
        <v>42</v>
      </c>
      <c r="G24" s="32">
        <f>SUM(G7:G22)</f>
        <v>132</v>
      </c>
      <c r="H24" s="32"/>
      <c r="I24" s="16"/>
      <c r="J24" s="16"/>
      <c r="K24" s="110"/>
      <c r="L24" s="99"/>
      <c r="M24" s="100"/>
      <c r="N24" s="115"/>
      <c r="O24" s="113"/>
      <c r="P24" s="124"/>
      <c r="Q24" s="25"/>
    </row>
    <row r="25" spans="1:20" s="24" customFormat="1" ht="12.75" customHeight="1" x14ac:dyDescent="0.2">
      <c r="A25" s="16"/>
      <c r="B25" s="16"/>
      <c r="C25" s="16"/>
      <c r="D25" s="16"/>
      <c r="E25" s="16"/>
      <c r="F25" s="17"/>
      <c r="G25" s="16"/>
      <c r="H25" s="16"/>
      <c r="I25" s="16"/>
      <c r="J25" s="16"/>
      <c r="K25" s="110"/>
      <c r="L25" s="99"/>
      <c r="M25" s="100"/>
      <c r="N25" s="115"/>
      <c r="O25" s="113"/>
      <c r="P25" s="124"/>
      <c r="Q25" s="25"/>
    </row>
    <row r="26" spans="1:20" s="24" customFormat="1" ht="12.75" customHeight="1" x14ac:dyDescent="0.2">
      <c r="A26" s="16"/>
      <c r="B26" s="16"/>
      <c r="C26" s="16"/>
      <c r="D26" s="16"/>
      <c r="E26" s="16"/>
      <c r="F26" s="17"/>
      <c r="G26" s="16"/>
      <c r="H26" s="16"/>
      <c r="I26" s="16"/>
      <c r="J26" s="16"/>
      <c r="K26" s="110"/>
      <c r="L26" s="99"/>
      <c r="M26" s="100"/>
      <c r="N26" s="115"/>
      <c r="O26" s="113"/>
      <c r="P26" s="124"/>
      <c r="Q26" s="25"/>
    </row>
    <row r="27" spans="1:20" s="24" customFormat="1" ht="12.75" customHeight="1" x14ac:dyDescent="0.2">
      <c r="A27" s="16"/>
      <c r="B27" s="16"/>
      <c r="C27" s="16"/>
      <c r="D27" s="16"/>
      <c r="E27" s="16"/>
      <c r="F27" s="17"/>
      <c r="G27" s="16"/>
      <c r="H27" s="16"/>
      <c r="I27" s="16"/>
      <c r="J27" s="16"/>
      <c r="K27" s="110"/>
      <c r="L27" s="99"/>
      <c r="M27" s="100"/>
      <c r="N27" s="115"/>
      <c r="O27" s="113"/>
      <c r="P27" s="124"/>
      <c r="Q27" s="25"/>
    </row>
    <row r="28" spans="1:20" s="24" customFormat="1" ht="12.75" customHeight="1" x14ac:dyDescent="0.2">
      <c r="A28" s="16"/>
      <c r="B28" s="16"/>
      <c r="C28" s="16"/>
      <c r="D28" s="16"/>
      <c r="E28" s="16"/>
      <c r="F28" s="17"/>
      <c r="G28" s="16"/>
      <c r="H28" s="16"/>
      <c r="I28" s="16"/>
      <c r="J28" s="16"/>
      <c r="K28" s="110"/>
      <c r="L28" s="99"/>
      <c r="M28" s="100"/>
      <c r="N28" s="115"/>
      <c r="O28" s="113"/>
      <c r="P28" s="124"/>
      <c r="Q28" s="25"/>
    </row>
    <row r="29" spans="1:20" s="24" customFormat="1" ht="12.75" customHeight="1" x14ac:dyDescent="0.2">
      <c r="A29" s="16"/>
      <c r="B29" s="16"/>
      <c r="C29" s="16"/>
      <c r="D29" s="16"/>
      <c r="E29" s="16"/>
      <c r="F29" s="17"/>
      <c r="G29" s="16"/>
      <c r="H29" s="16"/>
      <c r="I29" s="16"/>
      <c r="J29" s="16"/>
      <c r="K29" s="110"/>
      <c r="L29" s="99"/>
      <c r="M29" s="100"/>
      <c r="N29" s="115"/>
      <c r="O29" s="113"/>
      <c r="P29" s="124"/>
      <c r="Q29" s="25"/>
    </row>
    <row r="30" spans="1:20" hidden="1" x14ac:dyDescent="0.2">
      <c r="K30" s="107" t="s">
        <v>41</v>
      </c>
      <c r="L30" s="356" t="s">
        <v>40</v>
      </c>
      <c r="M30" s="357"/>
      <c r="N30" s="23">
        <v>1632000</v>
      </c>
      <c r="O30" s="350">
        <v>27.2</v>
      </c>
      <c r="P30" s="351"/>
      <c r="Q30" s="94">
        <v>27.2</v>
      </c>
    </row>
    <row r="31" spans="1:20" hidden="1" x14ac:dyDescent="0.2">
      <c r="K31" s="107" t="s">
        <v>41</v>
      </c>
      <c r="L31" s="352" t="s">
        <v>40</v>
      </c>
      <c r="M31" s="353"/>
      <c r="N31" s="21">
        <v>2108400</v>
      </c>
      <c r="O31" s="354">
        <v>35.14</v>
      </c>
      <c r="P31" s="355"/>
      <c r="Q31" s="95">
        <v>35.14</v>
      </c>
    </row>
    <row r="32" spans="1:20" x14ac:dyDescent="0.2">
      <c r="Q32" s="20">
        <f>SUM(Q5:Q31)</f>
        <v>150.19</v>
      </c>
      <c r="R32" s="19"/>
      <c r="S32" s="19"/>
      <c r="T32" s="19"/>
    </row>
    <row r="33" spans="18:20" x14ac:dyDescent="0.2">
      <c r="R33" s="18"/>
      <c r="S33" s="18"/>
      <c r="T33" s="18"/>
    </row>
  </sheetData>
  <mergeCells count="41">
    <mergeCell ref="A21:A22"/>
    <mergeCell ref="C21:C22"/>
    <mergeCell ref="E21:E22"/>
    <mergeCell ref="F21:F22"/>
    <mergeCell ref="O30:P30"/>
    <mergeCell ref="C12:C14"/>
    <mergeCell ref="A12:A14"/>
    <mergeCell ref="F15:F17"/>
    <mergeCell ref="E15:E17"/>
    <mergeCell ref="C15:C17"/>
    <mergeCell ref="A15:A17"/>
    <mergeCell ref="O31:P31"/>
    <mergeCell ref="L30:M30"/>
    <mergeCell ref="L31:M31"/>
    <mergeCell ref="F12:F14"/>
    <mergeCell ref="E12:E14"/>
    <mergeCell ref="L2:M2"/>
    <mergeCell ref="L4:M4"/>
    <mergeCell ref="O2:P4"/>
    <mergeCell ref="G2:J2"/>
    <mergeCell ref="A1:C1"/>
    <mergeCell ref="A2:A3"/>
    <mergeCell ref="E2:E4"/>
    <mergeCell ref="B2:B4"/>
    <mergeCell ref="D2:D4"/>
    <mergeCell ref="R2:R4"/>
    <mergeCell ref="C8:C10"/>
    <mergeCell ref="A8:A10"/>
    <mergeCell ref="E8:E10"/>
    <mergeCell ref="F8:F10"/>
    <mergeCell ref="A5:A6"/>
    <mergeCell ref="B5:B6"/>
    <mergeCell ref="C5:C6"/>
    <mergeCell ref="D5:D6"/>
    <mergeCell ref="E5:E6"/>
    <mergeCell ref="O5:P5"/>
    <mergeCell ref="L5:M5"/>
    <mergeCell ref="F5:F6"/>
    <mergeCell ref="K5:K6"/>
    <mergeCell ref="G5:J6"/>
    <mergeCell ref="L3:M3"/>
  </mergeCells>
  <printOptions horizontalCentered="1" verticalCentered="1"/>
  <pageMargins left="0.23622047244094491" right="0.23622047244094491" top="0.78740157480314965" bottom="0.78740157480314965" header="0.19685039370078741" footer="0.19685039370078741"/>
  <pageSetup paperSize="9" scale="91" orientation="landscape" horizontalDpi="300" verticalDpi="300" r:id="rId1"/>
  <headerFooter alignWithMargins="0">
    <oddHeader>&amp;L&amp;G&amp;C&amp;"-,Negrita"&amp;18&amp;A&amp;R&amp;G</oddHeader>
    <oddFooter>&amp;C&amp;"-,Negrita"&amp;10Ministerio de Obras Públicas y Comunicaciones&amp;"-,Normal"
Oliva y Alberdi Nº 411, C.P. Nº 1221, Asunción, Paraguay
Tel: 595 (021) 4149000&amp;R&amp;10Dirección de Caminos Vecinales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4"/>
  <sheetViews>
    <sheetView view="pageBreakPreview" zoomScaleNormal="140" zoomScaleSheetLayoutView="100" workbookViewId="0">
      <selection activeCell="J30" sqref="J30"/>
    </sheetView>
  </sheetViews>
  <sheetFormatPr defaultColWidth="11.42578125" defaultRowHeight="12.75" x14ac:dyDescent="0.2"/>
  <cols>
    <col min="1" max="1" width="14" style="16" customWidth="1"/>
    <col min="2" max="2" width="14" style="16" hidden="1" customWidth="1"/>
    <col min="3" max="3" width="47.5703125" style="16" customWidth="1"/>
    <col min="4" max="4" width="22.5703125" style="16" hidden="1" customWidth="1"/>
    <col min="5" max="5" width="9.7109375" style="16" customWidth="1"/>
    <col min="6" max="6" width="9.5703125" style="17" customWidth="1"/>
    <col min="7" max="7" width="14.140625" style="16" customWidth="1"/>
    <col min="8" max="10" width="9.5703125" style="16" customWidth="1"/>
    <col min="11" max="11" width="20.7109375" style="16" customWidth="1"/>
    <col min="12" max="12" width="24.85546875" style="16" hidden="1" customWidth="1"/>
    <col min="13" max="14" width="12.28515625" style="16" hidden="1" customWidth="1"/>
    <col min="15" max="15" width="15.5703125" style="16" hidden="1" customWidth="1"/>
    <col min="16" max="17" width="0" style="16" hidden="1" customWidth="1"/>
    <col min="18" max="18" width="19.28515625" style="16" hidden="1" customWidth="1"/>
    <col min="19" max="19" width="16.28515625" style="16" bestFit="1" customWidth="1"/>
    <col min="20" max="16384" width="11.42578125" style="16"/>
  </cols>
  <sheetData>
    <row r="1" spans="1:19" ht="16.5" x14ac:dyDescent="0.3">
      <c r="A1" s="358" t="s">
        <v>109</v>
      </c>
      <c r="B1" s="358"/>
      <c r="C1" s="359"/>
      <c r="D1" s="31"/>
    </row>
    <row r="2" spans="1:19" s="30" customFormat="1" ht="12.75" customHeight="1" x14ac:dyDescent="0.2">
      <c r="A2" s="310"/>
      <c r="B2" s="312" t="s">
        <v>91</v>
      </c>
      <c r="C2" s="122" t="s">
        <v>90</v>
      </c>
      <c r="D2" s="312" t="s">
        <v>89</v>
      </c>
      <c r="E2" s="312" t="s">
        <v>88</v>
      </c>
      <c r="F2" s="101"/>
      <c r="G2" s="289" t="s">
        <v>87</v>
      </c>
      <c r="H2" s="290"/>
      <c r="I2" s="290"/>
      <c r="J2" s="290"/>
      <c r="K2" s="291"/>
      <c r="L2" s="129"/>
      <c r="M2" s="344"/>
      <c r="N2" s="345"/>
      <c r="O2" s="129"/>
      <c r="P2" s="344" t="s">
        <v>86</v>
      </c>
      <c r="Q2" s="345"/>
      <c r="R2" s="130"/>
      <c r="S2" s="312" t="s">
        <v>367</v>
      </c>
    </row>
    <row r="3" spans="1:19" s="30" customFormat="1" ht="67.5" customHeight="1" x14ac:dyDescent="0.2">
      <c r="A3" s="311"/>
      <c r="B3" s="313"/>
      <c r="C3" s="101" t="s">
        <v>85</v>
      </c>
      <c r="D3" s="313"/>
      <c r="E3" s="313"/>
      <c r="F3" s="102" t="s">
        <v>84</v>
      </c>
      <c r="G3" s="102" t="s">
        <v>83</v>
      </c>
      <c r="H3" s="102" t="s">
        <v>82</v>
      </c>
      <c r="I3" s="102" t="s">
        <v>81</v>
      </c>
      <c r="J3" s="321" t="s">
        <v>80</v>
      </c>
      <c r="K3" s="386"/>
      <c r="L3" s="131" t="s">
        <v>79</v>
      </c>
      <c r="M3" s="346" t="s">
        <v>78</v>
      </c>
      <c r="N3" s="347"/>
      <c r="O3" s="131" t="s">
        <v>77</v>
      </c>
      <c r="P3" s="346"/>
      <c r="Q3" s="347"/>
      <c r="R3" s="132" t="s">
        <v>76</v>
      </c>
      <c r="S3" s="313"/>
    </row>
    <row r="4" spans="1:19" s="30" customFormat="1" x14ac:dyDescent="0.2">
      <c r="A4" s="122" t="s">
        <v>75</v>
      </c>
      <c r="B4" s="314"/>
      <c r="C4" s="121" t="s">
        <v>74</v>
      </c>
      <c r="D4" s="314"/>
      <c r="E4" s="314"/>
      <c r="F4" s="103"/>
      <c r="G4" s="103"/>
      <c r="H4" s="103"/>
      <c r="I4" s="103"/>
      <c r="J4" s="323"/>
      <c r="K4" s="387"/>
      <c r="L4" s="133"/>
      <c r="M4" s="348"/>
      <c r="N4" s="349"/>
      <c r="O4" s="133"/>
      <c r="P4" s="348"/>
      <c r="Q4" s="349"/>
      <c r="R4" s="134"/>
      <c r="S4" s="314"/>
    </row>
    <row r="5" spans="1:19" s="24" customFormat="1" ht="12.75" hidden="1" customHeight="1" x14ac:dyDescent="0.2">
      <c r="A5" s="338">
        <v>132012</v>
      </c>
      <c r="B5" s="338" t="s">
        <v>73</v>
      </c>
      <c r="C5" s="388" t="s">
        <v>72</v>
      </c>
      <c r="D5" s="388" t="s">
        <v>71</v>
      </c>
      <c r="E5" s="338">
        <v>1</v>
      </c>
      <c r="F5" s="341" t="s">
        <v>54</v>
      </c>
      <c r="G5" s="380" t="s">
        <v>70</v>
      </c>
      <c r="H5" s="381"/>
      <c r="I5" s="381"/>
      <c r="J5" s="381"/>
      <c r="K5" s="382"/>
      <c r="L5" s="341" t="s">
        <v>41</v>
      </c>
      <c r="M5" s="352" t="s">
        <v>69</v>
      </c>
      <c r="N5" s="353"/>
      <c r="O5" s="21">
        <v>5271000</v>
      </c>
      <c r="P5" s="354">
        <v>87.85</v>
      </c>
      <c r="Q5" s="355"/>
      <c r="R5" s="94">
        <v>87.85</v>
      </c>
    </row>
    <row r="6" spans="1:19" s="24" customFormat="1" ht="12.75" hidden="1" customHeight="1" x14ac:dyDescent="0.2">
      <c r="A6" s="340"/>
      <c r="B6" s="340"/>
      <c r="C6" s="389"/>
      <c r="D6" s="389"/>
      <c r="E6" s="340"/>
      <c r="F6" s="343"/>
      <c r="G6" s="383"/>
      <c r="H6" s="384"/>
      <c r="I6" s="384"/>
      <c r="J6" s="384"/>
      <c r="K6" s="385"/>
      <c r="L6" s="343"/>
      <c r="M6" s="99"/>
      <c r="N6" s="100"/>
      <c r="O6" s="115"/>
      <c r="P6" s="95"/>
      <c r="Q6" s="96"/>
      <c r="R6" s="25"/>
    </row>
    <row r="7" spans="1:19" s="24" customFormat="1" ht="12.75" customHeight="1" x14ac:dyDescent="0.2">
      <c r="A7" s="106">
        <v>2271</v>
      </c>
      <c r="B7" s="41"/>
      <c r="C7" s="108" t="s">
        <v>108</v>
      </c>
      <c r="D7" s="105"/>
      <c r="E7" s="106">
        <v>5</v>
      </c>
      <c r="F7" s="107" t="s">
        <v>54</v>
      </c>
      <c r="G7" s="107">
        <v>15</v>
      </c>
      <c r="H7" s="107">
        <v>4</v>
      </c>
      <c r="I7" s="107" t="s">
        <v>43</v>
      </c>
      <c r="J7" s="40" t="s">
        <v>18</v>
      </c>
      <c r="L7" s="110"/>
      <c r="M7" s="99"/>
      <c r="N7" s="100"/>
      <c r="O7" s="115"/>
      <c r="P7" s="113"/>
      <c r="Q7" s="124"/>
      <c r="R7" s="25"/>
      <c r="S7" s="245" t="s">
        <v>418</v>
      </c>
    </row>
    <row r="8" spans="1:19" s="24" customFormat="1" ht="12.75" customHeight="1" x14ac:dyDescent="0.2">
      <c r="A8" s="338">
        <v>2281</v>
      </c>
      <c r="B8" s="41"/>
      <c r="C8" s="335" t="s">
        <v>107</v>
      </c>
      <c r="D8" s="105"/>
      <c r="E8" s="338">
        <v>13</v>
      </c>
      <c r="F8" s="341" t="s">
        <v>54</v>
      </c>
      <c r="G8" s="107">
        <v>40</v>
      </c>
      <c r="H8" s="107">
        <v>4</v>
      </c>
      <c r="I8" s="107" t="s">
        <v>43</v>
      </c>
      <c r="J8" s="40" t="s">
        <v>18</v>
      </c>
      <c r="K8" s="39" t="s">
        <v>106</v>
      </c>
      <c r="L8" s="110"/>
      <c r="M8" s="99"/>
      <c r="N8" s="100"/>
      <c r="O8" s="115"/>
      <c r="P8" s="113"/>
      <c r="Q8" s="124"/>
      <c r="R8" s="25"/>
      <c r="S8" s="245" t="s">
        <v>417</v>
      </c>
    </row>
    <row r="9" spans="1:19" s="24" customFormat="1" ht="12.75" customHeight="1" x14ac:dyDescent="0.2">
      <c r="A9" s="340"/>
      <c r="B9" s="41"/>
      <c r="C9" s="337"/>
      <c r="D9" s="105"/>
      <c r="E9" s="340"/>
      <c r="F9" s="343"/>
      <c r="G9" s="107">
        <v>10</v>
      </c>
      <c r="H9" s="107">
        <v>4</v>
      </c>
      <c r="I9" s="107" t="s">
        <v>43</v>
      </c>
      <c r="J9" s="40" t="s">
        <v>18</v>
      </c>
      <c r="K9" s="39" t="s">
        <v>105</v>
      </c>
      <c r="L9" s="110"/>
      <c r="M9" s="99"/>
      <c r="N9" s="100"/>
      <c r="O9" s="115"/>
      <c r="P9" s="113"/>
      <c r="Q9" s="124"/>
      <c r="R9" s="25"/>
      <c r="S9" s="245" t="s">
        <v>417</v>
      </c>
    </row>
    <row r="10" spans="1:19" s="24" customFormat="1" ht="12.75" customHeight="1" x14ac:dyDescent="0.2">
      <c r="A10" s="338">
        <v>2821</v>
      </c>
      <c r="B10" s="41"/>
      <c r="C10" s="335" t="s">
        <v>104</v>
      </c>
      <c r="D10" s="105"/>
      <c r="E10" s="338">
        <v>22</v>
      </c>
      <c r="F10" s="341" t="s">
        <v>54</v>
      </c>
      <c r="G10" s="107">
        <v>6</v>
      </c>
      <c r="H10" s="107">
        <v>6</v>
      </c>
      <c r="I10" s="107" t="s">
        <v>43</v>
      </c>
      <c r="J10" s="40" t="s">
        <v>18</v>
      </c>
      <c r="K10" s="39" t="s">
        <v>103</v>
      </c>
      <c r="L10" s="110"/>
      <c r="M10" s="99"/>
      <c r="N10" s="100"/>
      <c r="O10" s="115"/>
      <c r="P10" s="113"/>
      <c r="Q10" s="124"/>
      <c r="R10" s="25"/>
      <c r="S10" s="245" t="s">
        <v>416</v>
      </c>
    </row>
    <row r="11" spans="1:19" s="24" customFormat="1" ht="12.75" customHeight="1" x14ac:dyDescent="0.2">
      <c r="A11" s="340"/>
      <c r="B11" s="41"/>
      <c r="C11" s="337"/>
      <c r="D11" s="105"/>
      <c r="E11" s="340"/>
      <c r="F11" s="343"/>
      <c r="G11" s="107">
        <v>10</v>
      </c>
      <c r="H11" s="107">
        <v>5</v>
      </c>
      <c r="I11" s="107" t="s">
        <v>43</v>
      </c>
      <c r="J11" s="40" t="s">
        <v>18</v>
      </c>
      <c r="K11" s="39" t="s">
        <v>102</v>
      </c>
      <c r="L11" s="110"/>
      <c r="M11" s="99"/>
      <c r="N11" s="100"/>
      <c r="O11" s="115"/>
      <c r="P11" s="113"/>
      <c r="Q11" s="124"/>
      <c r="R11" s="25"/>
      <c r="S11" s="245" t="s">
        <v>416</v>
      </c>
    </row>
    <row r="12" spans="1:19" s="24" customFormat="1" ht="12.75" customHeight="1" x14ac:dyDescent="0.2">
      <c r="A12" s="106">
        <v>2805</v>
      </c>
      <c r="B12" s="41"/>
      <c r="C12" s="29" t="s">
        <v>101</v>
      </c>
      <c r="D12" s="105"/>
      <c r="E12" s="106">
        <v>16</v>
      </c>
      <c r="F12" s="107" t="s">
        <v>54</v>
      </c>
      <c r="G12" s="107">
        <v>12</v>
      </c>
      <c r="H12" s="107">
        <v>5</v>
      </c>
      <c r="I12" s="107" t="s">
        <v>43</v>
      </c>
      <c r="J12" s="40" t="s">
        <v>18</v>
      </c>
      <c r="K12" s="39" t="s">
        <v>100</v>
      </c>
      <c r="L12" s="110"/>
      <c r="M12" s="99"/>
      <c r="N12" s="100"/>
      <c r="O12" s="115"/>
      <c r="P12" s="113"/>
      <c r="Q12" s="124"/>
      <c r="R12" s="25"/>
      <c r="S12" s="245" t="s">
        <v>415</v>
      </c>
    </row>
    <row r="13" spans="1:19" s="24" customFormat="1" ht="12.75" customHeight="1" x14ac:dyDescent="0.2">
      <c r="A13" s="106">
        <v>2803</v>
      </c>
      <c r="B13" s="41"/>
      <c r="C13" s="29" t="s">
        <v>99</v>
      </c>
      <c r="D13" s="105"/>
      <c r="E13" s="106">
        <v>24</v>
      </c>
      <c r="F13" s="107" t="s">
        <v>54</v>
      </c>
      <c r="G13" s="107">
        <v>12</v>
      </c>
      <c r="H13" s="107">
        <v>4</v>
      </c>
      <c r="I13" s="107" t="s">
        <v>43</v>
      </c>
      <c r="J13" s="40" t="s">
        <v>18</v>
      </c>
      <c r="K13" s="39" t="s">
        <v>98</v>
      </c>
      <c r="L13" s="110"/>
      <c r="M13" s="99"/>
      <c r="N13" s="100"/>
      <c r="O13" s="115"/>
      <c r="P13" s="113"/>
      <c r="Q13" s="124"/>
      <c r="R13" s="25"/>
      <c r="S13" s="245" t="s">
        <v>415</v>
      </c>
    </row>
    <row r="14" spans="1:19" s="24" customFormat="1" ht="12.75" customHeight="1" x14ac:dyDescent="0.2">
      <c r="A14" s="16"/>
      <c r="B14" s="16"/>
      <c r="C14" s="16"/>
      <c r="D14" s="16"/>
      <c r="E14" s="16"/>
      <c r="F14" s="17"/>
      <c r="G14" s="16"/>
      <c r="H14" s="16"/>
      <c r="I14" s="16"/>
      <c r="J14" s="16"/>
      <c r="K14" s="16"/>
      <c r="L14" s="110"/>
      <c r="M14" s="99"/>
      <c r="N14" s="100"/>
      <c r="O14" s="115"/>
      <c r="P14" s="113"/>
      <c r="Q14" s="124"/>
      <c r="R14" s="25"/>
    </row>
    <row r="15" spans="1:19" s="24" customFormat="1" ht="17.25" customHeight="1" x14ac:dyDescent="0.3">
      <c r="A15" s="16"/>
      <c r="B15" s="16"/>
      <c r="C15" s="16"/>
      <c r="D15" s="16"/>
      <c r="E15" s="16"/>
      <c r="F15" s="26" t="s">
        <v>42</v>
      </c>
      <c r="G15" s="32">
        <f>SUM(G7:G13)</f>
        <v>105</v>
      </c>
      <c r="H15" s="32"/>
      <c r="I15" s="16"/>
      <c r="J15" s="16"/>
      <c r="K15" s="16"/>
      <c r="L15" s="110"/>
      <c r="M15" s="99"/>
      <c r="N15" s="100"/>
      <c r="O15" s="115"/>
      <c r="P15" s="113"/>
      <c r="Q15" s="124"/>
      <c r="R15" s="25"/>
    </row>
    <row r="16" spans="1:19" s="24" customFormat="1" ht="12.75" customHeight="1" x14ac:dyDescent="0.2">
      <c r="A16" s="16"/>
      <c r="B16" s="16"/>
      <c r="C16" s="16"/>
      <c r="D16" s="16"/>
      <c r="E16" s="16"/>
      <c r="F16" s="17"/>
      <c r="G16" s="16"/>
      <c r="H16" s="16"/>
      <c r="I16" s="16"/>
      <c r="J16" s="16"/>
      <c r="K16" s="16"/>
      <c r="L16" s="110"/>
      <c r="M16" s="99"/>
      <c r="N16" s="100"/>
      <c r="O16" s="115"/>
      <c r="P16" s="113"/>
      <c r="Q16" s="124"/>
      <c r="R16" s="25"/>
    </row>
    <row r="17" spans="1:21" s="24" customFormat="1" ht="12.75" customHeight="1" x14ac:dyDescent="0.2">
      <c r="A17" s="16"/>
      <c r="B17" s="16"/>
      <c r="C17" s="16"/>
      <c r="D17" s="16"/>
      <c r="E17" s="16"/>
      <c r="F17" s="17"/>
      <c r="G17" s="16"/>
      <c r="H17" s="16"/>
      <c r="I17" s="16"/>
      <c r="J17" s="16"/>
      <c r="K17" s="16"/>
      <c r="L17" s="110"/>
      <c r="M17" s="99"/>
      <c r="N17" s="100"/>
      <c r="O17" s="115"/>
      <c r="P17" s="113"/>
      <c r="Q17" s="124"/>
      <c r="R17" s="25"/>
    </row>
    <row r="18" spans="1:21" s="24" customFormat="1" ht="12.75" customHeight="1" x14ac:dyDescent="0.2">
      <c r="A18" s="16"/>
      <c r="B18" s="16"/>
      <c r="C18" s="16"/>
      <c r="D18" s="16"/>
      <c r="E18" s="16"/>
      <c r="F18" s="17"/>
      <c r="G18" s="16"/>
      <c r="H18" s="16"/>
      <c r="I18" s="16"/>
      <c r="J18" s="16"/>
      <c r="K18" s="16"/>
      <c r="L18" s="110"/>
      <c r="M18" s="99"/>
      <c r="N18" s="100"/>
      <c r="O18" s="115"/>
      <c r="P18" s="113"/>
      <c r="Q18" s="124"/>
      <c r="R18" s="25"/>
    </row>
    <row r="19" spans="1:21" s="24" customFormat="1" ht="12.75" customHeight="1" x14ac:dyDescent="0.2">
      <c r="A19" s="16"/>
      <c r="B19" s="16"/>
      <c r="C19" s="16"/>
      <c r="D19" s="16"/>
      <c r="E19" s="16"/>
      <c r="F19" s="17"/>
      <c r="G19" s="16"/>
      <c r="H19" s="16"/>
      <c r="I19" s="16"/>
      <c r="J19" s="16"/>
      <c r="K19" s="16"/>
      <c r="L19" s="110"/>
      <c r="M19" s="99"/>
      <c r="N19" s="100"/>
      <c r="O19" s="115"/>
      <c r="P19" s="113"/>
      <c r="Q19" s="124"/>
      <c r="R19" s="25"/>
    </row>
    <row r="20" spans="1:21" s="24" customFormat="1" ht="12.75" customHeight="1" x14ac:dyDescent="0.2">
      <c r="A20" s="16"/>
      <c r="B20" s="16"/>
      <c r="C20" s="16"/>
      <c r="D20" s="16"/>
      <c r="E20" s="16"/>
      <c r="F20" s="17"/>
      <c r="G20" s="16"/>
      <c r="H20" s="16"/>
      <c r="I20" s="16"/>
      <c r="J20" s="16"/>
      <c r="K20" s="16"/>
      <c r="L20" s="110"/>
      <c r="M20" s="99"/>
      <c r="N20" s="100"/>
      <c r="O20" s="115"/>
      <c r="P20" s="113"/>
      <c r="Q20" s="124"/>
      <c r="R20" s="25"/>
    </row>
    <row r="21" spans="1:21" hidden="1" x14ac:dyDescent="0.2">
      <c r="L21" s="107" t="s">
        <v>41</v>
      </c>
      <c r="M21" s="356" t="s">
        <v>40</v>
      </c>
      <c r="N21" s="357"/>
      <c r="O21" s="23">
        <v>1632000</v>
      </c>
      <c r="P21" s="350">
        <v>27.2</v>
      </c>
      <c r="Q21" s="351"/>
      <c r="R21" s="94">
        <v>27.2</v>
      </c>
    </row>
    <row r="22" spans="1:21" hidden="1" x14ac:dyDescent="0.2">
      <c r="L22" s="107" t="s">
        <v>41</v>
      </c>
      <c r="M22" s="352" t="s">
        <v>40</v>
      </c>
      <c r="N22" s="353"/>
      <c r="O22" s="21">
        <v>2108400</v>
      </c>
      <c r="P22" s="354">
        <v>35.14</v>
      </c>
      <c r="Q22" s="355"/>
      <c r="R22" s="95">
        <v>35.14</v>
      </c>
    </row>
    <row r="23" spans="1:21" x14ac:dyDescent="0.2">
      <c r="R23" s="20">
        <f>SUM(R5:R22)</f>
        <v>150.19</v>
      </c>
      <c r="S23" s="19"/>
      <c r="T23" s="19"/>
      <c r="U23" s="19"/>
    </row>
    <row r="24" spans="1:21" x14ac:dyDescent="0.2">
      <c r="S24" s="18"/>
      <c r="T24" s="18"/>
      <c r="U24" s="18"/>
    </row>
  </sheetData>
  <mergeCells count="35">
    <mergeCell ref="A10:A11"/>
    <mergeCell ref="C10:C11"/>
    <mergeCell ref="E10:E11"/>
    <mergeCell ref="F10:F11"/>
    <mergeCell ref="A8:A9"/>
    <mergeCell ref="C8:C9"/>
    <mergeCell ref="E8:E9"/>
    <mergeCell ref="F8:F9"/>
    <mergeCell ref="F5:F6"/>
    <mergeCell ref="L5:L6"/>
    <mergeCell ref="A5:A6"/>
    <mergeCell ref="B5:B6"/>
    <mergeCell ref="C5:C6"/>
    <mergeCell ref="D5:D6"/>
    <mergeCell ref="E5:E6"/>
    <mergeCell ref="A1:C1"/>
    <mergeCell ref="A2:A3"/>
    <mergeCell ref="E2:E4"/>
    <mergeCell ref="B2:B4"/>
    <mergeCell ref="D2:D4"/>
    <mergeCell ref="P21:Q21"/>
    <mergeCell ref="G5:K6"/>
    <mergeCell ref="P22:Q22"/>
    <mergeCell ref="M21:N21"/>
    <mergeCell ref="M22:N22"/>
    <mergeCell ref="P5:Q5"/>
    <mergeCell ref="M5:N5"/>
    <mergeCell ref="S2:S4"/>
    <mergeCell ref="P2:Q4"/>
    <mergeCell ref="G2:K2"/>
    <mergeCell ref="J3:K3"/>
    <mergeCell ref="J4:K4"/>
    <mergeCell ref="M3:N3"/>
    <mergeCell ref="M2:N2"/>
    <mergeCell ref="M4:N4"/>
  </mergeCells>
  <printOptions horizontalCentered="1" verticalCentered="1"/>
  <pageMargins left="0.23622047244094491" right="0.23622047244094491" top="0.78740157480314965" bottom="0.78740157480314965" header="0.19685039370078741" footer="0.19685039370078741"/>
  <pageSetup paperSize="9" scale="88" orientation="landscape" horizontalDpi="300" verticalDpi="300" r:id="rId1"/>
  <headerFooter alignWithMargins="0">
    <oddHeader>&amp;C&amp;"-,Negrita"&amp;18&amp;A</oddHeader>
    <oddFooter>&amp;C&amp;"-,Negrita"&amp;10Ministerio de Obras Públicas y Comunicaciones&amp;"-,Normal"
Oliva y Alberdi Nº 411, C.P. Nº 1221, Asunción, Paraguay
Tel: 595 (021) 4149000&amp;R&amp;10Dirección de Caminos Vecinales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view="pageBreakPreview" zoomScaleNormal="50" zoomScaleSheetLayoutView="100" workbookViewId="0">
      <pane xSplit="2" ySplit="5" topLeftCell="C6" activePane="bottomRight" state="frozen"/>
      <selection activeCell="C29" sqref="C29:C30"/>
      <selection pane="topRight" activeCell="C29" sqref="C29:C30"/>
      <selection pane="bottomLeft" activeCell="C29" sqref="C29:C30"/>
      <selection pane="bottomRight" activeCell="C33" sqref="C33"/>
    </sheetView>
  </sheetViews>
  <sheetFormatPr defaultColWidth="11.42578125" defaultRowHeight="12.75" x14ac:dyDescent="0.2"/>
  <cols>
    <col min="1" max="1" width="14" style="16" customWidth="1"/>
    <col min="2" max="2" width="39.5703125" style="17" bestFit="1" customWidth="1"/>
    <col min="3" max="3" width="9.42578125" style="45" bestFit="1" customWidth="1"/>
    <col min="4" max="4" width="12.28515625" style="16" bestFit="1" customWidth="1"/>
    <col min="5" max="6" width="11.140625" style="48" customWidth="1"/>
    <col min="7" max="7" width="11.140625" style="17" customWidth="1"/>
    <col min="8" max="8" width="15.85546875" style="17" bestFit="1" customWidth="1"/>
    <col min="9" max="9" width="15.7109375" style="16" bestFit="1" customWidth="1"/>
    <col min="10" max="16384" width="11.42578125" style="16"/>
  </cols>
  <sheetData>
    <row r="1" spans="1:9" ht="16.5" x14ac:dyDescent="0.3">
      <c r="A1" s="398" t="s">
        <v>295</v>
      </c>
      <c r="B1" s="399"/>
      <c r="C1" s="399"/>
      <c r="D1" s="399"/>
    </row>
    <row r="2" spans="1:9" s="30" customFormat="1" x14ac:dyDescent="0.2">
      <c r="A2" s="400" t="s">
        <v>96</v>
      </c>
      <c r="B2" s="122" t="s">
        <v>90</v>
      </c>
      <c r="C2" s="332" t="s">
        <v>280</v>
      </c>
      <c r="D2" s="333" t="s">
        <v>128</v>
      </c>
      <c r="E2" s="397" t="s">
        <v>87</v>
      </c>
      <c r="F2" s="397"/>
      <c r="G2" s="397"/>
      <c r="H2" s="397"/>
      <c r="I2" s="333" t="s">
        <v>367</v>
      </c>
    </row>
    <row r="3" spans="1:9" s="30" customFormat="1" x14ac:dyDescent="0.2">
      <c r="A3" s="400"/>
      <c r="B3" s="397" t="s">
        <v>85</v>
      </c>
      <c r="C3" s="333"/>
      <c r="D3" s="333"/>
      <c r="E3" s="51" t="s">
        <v>83</v>
      </c>
      <c r="F3" s="51" t="s">
        <v>82</v>
      </c>
      <c r="G3" s="121" t="s">
        <v>81</v>
      </c>
      <c r="H3" s="121" t="s">
        <v>80</v>
      </c>
      <c r="I3" s="333"/>
    </row>
    <row r="4" spans="1:9" s="30" customFormat="1" x14ac:dyDescent="0.2">
      <c r="A4" s="400"/>
      <c r="B4" s="397"/>
      <c r="C4" s="333"/>
      <c r="D4" s="333"/>
      <c r="E4" s="51"/>
      <c r="F4" s="51"/>
      <c r="G4" s="121"/>
      <c r="H4" s="121"/>
      <c r="I4" s="333"/>
    </row>
    <row r="5" spans="1:9" s="30" customFormat="1" x14ac:dyDescent="0.2">
      <c r="A5" s="400"/>
      <c r="B5" s="397"/>
      <c r="C5" s="333"/>
      <c r="D5" s="333"/>
      <c r="E5" s="51"/>
      <c r="F5" s="51"/>
      <c r="G5" s="121"/>
      <c r="H5" s="121"/>
      <c r="I5" s="333"/>
    </row>
    <row r="6" spans="1:9" s="30" customFormat="1" x14ac:dyDescent="0.2">
      <c r="A6" s="338">
        <v>12201</v>
      </c>
      <c r="B6" s="335" t="s">
        <v>433</v>
      </c>
      <c r="C6" s="185">
        <v>1</v>
      </c>
      <c r="D6" s="186" t="s">
        <v>54</v>
      </c>
      <c r="E6" s="50">
        <v>6</v>
      </c>
      <c r="F6" s="50">
        <v>4</v>
      </c>
      <c r="G6" s="109" t="s">
        <v>43</v>
      </c>
      <c r="H6" s="109" t="s">
        <v>294</v>
      </c>
      <c r="I6" s="246" t="s">
        <v>420</v>
      </c>
    </row>
    <row r="7" spans="1:9" s="30" customFormat="1" x14ac:dyDescent="0.2">
      <c r="A7" s="339"/>
      <c r="B7" s="336"/>
      <c r="C7" s="185"/>
      <c r="D7" s="186"/>
      <c r="E7" s="50">
        <v>6</v>
      </c>
      <c r="F7" s="50">
        <v>4</v>
      </c>
      <c r="G7" s="109" t="s">
        <v>43</v>
      </c>
      <c r="H7" s="109" t="s">
        <v>293</v>
      </c>
      <c r="I7" s="246" t="s">
        <v>420</v>
      </c>
    </row>
    <row r="8" spans="1:9" s="30" customFormat="1" x14ac:dyDescent="0.2">
      <c r="A8" s="339"/>
      <c r="B8" s="336"/>
      <c r="C8" s="266"/>
      <c r="D8" s="267"/>
      <c r="E8" s="50">
        <v>6</v>
      </c>
      <c r="F8" s="50">
        <v>4</v>
      </c>
      <c r="G8" s="109" t="s">
        <v>43</v>
      </c>
      <c r="H8" s="109" t="s">
        <v>283</v>
      </c>
      <c r="I8" s="246" t="s">
        <v>419</v>
      </c>
    </row>
    <row r="9" spans="1:9" s="30" customFormat="1" x14ac:dyDescent="0.2">
      <c r="A9" s="340"/>
      <c r="B9" s="337"/>
      <c r="C9" s="266"/>
      <c r="D9" s="267"/>
      <c r="E9" s="50">
        <v>6</v>
      </c>
      <c r="F9" s="50">
        <v>4</v>
      </c>
      <c r="G9" s="109" t="s">
        <v>43</v>
      </c>
      <c r="H9" s="109" t="s">
        <v>282</v>
      </c>
      <c r="I9" s="246" t="s">
        <v>419</v>
      </c>
    </row>
    <row r="10" spans="1:9" s="30" customFormat="1" x14ac:dyDescent="0.2">
      <c r="A10" s="184"/>
      <c r="B10" s="334" t="s">
        <v>336</v>
      </c>
      <c r="C10" s="185"/>
      <c r="D10" s="186"/>
      <c r="E10" s="50">
        <v>6</v>
      </c>
      <c r="F10" s="50">
        <v>4</v>
      </c>
      <c r="G10" s="109" t="s">
        <v>43</v>
      </c>
      <c r="H10" s="109" t="s">
        <v>292</v>
      </c>
      <c r="I10" s="246" t="s">
        <v>423</v>
      </c>
    </row>
    <row r="11" spans="1:9" s="30" customFormat="1" x14ac:dyDescent="0.2">
      <c r="A11" s="184"/>
      <c r="B11" s="396"/>
      <c r="C11" s="185"/>
      <c r="D11" s="186"/>
      <c r="E11" s="50">
        <v>6</v>
      </c>
      <c r="F11" s="50">
        <v>4</v>
      </c>
      <c r="G11" s="109" t="s">
        <v>43</v>
      </c>
      <c r="H11" s="109" t="s">
        <v>291</v>
      </c>
      <c r="I11" s="246" t="s">
        <v>423</v>
      </c>
    </row>
    <row r="12" spans="1:9" s="30" customFormat="1" x14ac:dyDescent="0.2">
      <c r="A12" s="184"/>
      <c r="B12" s="396"/>
      <c r="C12" s="185"/>
      <c r="D12" s="186"/>
      <c r="E12" s="50">
        <v>6</v>
      </c>
      <c r="F12" s="50">
        <v>4</v>
      </c>
      <c r="G12" s="109" t="s">
        <v>43</v>
      </c>
      <c r="H12" s="109" t="s">
        <v>290</v>
      </c>
      <c r="I12" s="246" t="s">
        <v>423</v>
      </c>
    </row>
    <row r="13" spans="1:9" s="30" customFormat="1" x14ac:dyDescent="0.2">
      <c r="A13" s="184"/>
      <c r="B13" s="396"/>
      <c r="C13" s="185"/>
      <c r="D13" s="186"/>
      <c r="E13" s="50">
        <v>6</v>
      </c>
      <c r="F13" s="50">
        <v>4</v>
      </c>
      <c r="G13" s="109" t="s">
        <v>43</v>
      </c>
      <c r="H13" s="109" t="s">
        <v>289</v>
      </c>
      <c r="I13" s="246" t="s">
        <v>423</v>
      </c>
    </row>
    <row r="14" spans="1:9" s="30" customFormat="1" x14ac:dyDescent="0.2">
      <c r="A14" s="184"/>
      <c r="B14" s="396"/>
      <c r="C14" s="185"/>
      <c r="D14" s="186"/>
      <c r="E14" s="50">
        <v>6</v>
      </c>
      <c r="F14" s="50">
        <v>4</v>
      </c>
      <c r="G14" s="109" t="s">
        <v>43</v>
      </c>
      <c r="H14" s="109" t="s">
        <v>288</v>
      </c>
      <c r="I14" s="246" t="s">
        <v>423</v>
      </c>
    </row>
    <row r="15" spans="1:9" s="30" customFormat="1" x14ac:dyDescent="0.2">
      <c r="A15" s="184"/>
      <c r="B15" s="334" t="s">
        <v>337</v>
      </c>
      <c r="C15" s="185"/>
      <c r="D15" s="186"/>
      <c r="E15" s="50">
        <v>10</v>
      </c>
      <c r="F15" s="50">
        <v>4</v>
      </c>
      <c r="G15" s="109" t="s">
        <v>43</v>
      </c>
      <c r="H15" s="109" t="s">
        <v>287</v>
      </c>
      <c r="I15" s="246" t="s">
        <v>423</v>
      </c>
    </row>
    <row r="16" spans="1:9" s="30" customFormat="1" x14ac:dyDescent="0.2">
      <c r="A16" s="184"/>
      <c r="B16" s="396"/>
      <c r="C16" s="185"/>
      <c r="D16" s="186"/>
      <c r="E16" s="50">
        <v>6</v>
      </c>
      <c r="F16" s="50">
        <v>4</v>
      </c>
      <c r="G16" s="109" t="s">
        <v>43</v>
      </c>
      <c r="H16" s="109" t="s">
        <v>286</v>
      </c>
      <c r="I16" s="246" t="s">
        <v>423</v>
      </c>
    </row>
    <row r="17" spans="1:9" s="30" customFormat="1" x14ac:dyDescent="0.2">
      <c r="A17" s="184"/>
      <c r="B17" s="396"/>
      <c r="C17" s="185"/>
      <c r="D17" s="186"/>
      <c r="E17" s="50">
        <v>6</v>
      </c>
      <c r="F17" s="50">
        <v>4</v>
      </c>
      <c r="G17" s="109" t="s">
        <v>43</v>
      </c>
      <c r="H17" s="109" t="s">
        <v>285</v>
      </c>
      <c r="I17" s="246" t="s">
        <v>422</v>
      </c>
    </row>
    <row r="18" spans="1:9" s="30" customFormat="1" x14ac:dyDescent="0.2">
      <c r="A18" s="184"/>
      <c r="B18" s="334" t="s">
        <v>338</v>
      </c>
      <c r="C18" s="185"/>
      <c r="D18" s="186"/>
      <c r="E18" s="50">
        <v>5</v>
      </c>
      <c r="F18" s="50">
        <v>4</v>
      </c>
      <c r="G18" s="109" t="s">
        <v>43</v>
      </c>
      <c r="H18" s="109" t="s">
        <v>284</v>
      </c>
      <c r="I18" s="246" t="s">
        <v>421</v>
      </c>
    </row>
    <row r="19" spans="1:9" s="30" customFormat="1" x14ac:dyDescent="0.2">
      <c r="A19" s="184"/>
      <c r="B19" s="334"/>
      <c r="C19" s="185"/>
      <c r="D19" s="186"/>
      <c r="E19" s="50">
        <v>5</v>
      </c>
      <c r="F19" s="50">
        <v>4</v>
      </c>
      <c r="G19" s="109" t="s">
        <v>43</v>
      </c>
      <c r="H19" s="109" t="s">
        <v>339</v>
      </c>
      <c r="I19" s="246" t="s">
        <v>421</v>
      </c>
    </row>
    <row r="20" spans="1:9" x14ac:dyDescent="0.2">
      <c r="D20" s="46" t="s">
        <v>39</v>
      </c>
      <c r="E20" s="49">
        <f>SUM(E6:E19)</f>
        <v>86</v>
      </c>
    </row>
  </sheetData>
  <mergeCells count="12">
    <mergeCell ref="A6:A9"/>
    <mergeCell ref="A1:D1"/>
    <mergeCell ref="A2:A5"/>
    <mergeCell ref="C2:C5"/>
    <mergeCell ref="D2:D5"/>
    <mergeCell ref="B3:B5"/>
    <mergeCell ref="I2:I5"/>
    <mergeCell ref="B10:B14"/>
    <mergeCell ref="B15:B17"/>
    <mergeCell ref="B18:B19"/>
    <mergeCell ref="E2:H2"/>
    <mergeCell ref="B6:B9"/>
  </mergeCells>
  <printOptions horizontalCentered="1" verticalCentered="1"/>
  <pageMargins left="0.23622047244094491" right="0.23622047244094491" top="0.78740157480314965" bottom="0.78740157480314965" header="0.19685039370078741" footer="0.19685039370078741"/>
  <pageSetup paperSize="9" orientation="landscape" horizontalDpi="300" verticalDpi="300" r:id="rId1"/>
  <headerFooter alignWithMargins="0">
    <oddHeader>&amp;L&amp;G&amp;C&amp;"-,Negrita"&amp;18&amp;A&amp;R&amp;G</oddHeader>
    <oddFooter>&amp;C&amp;"-,Negrita"&amp;10Ministerio de Obras Públicas y Comunicaciones&amp;"-,Normal"
Oliva y Alberdi Nº 411, C.P. Nº 1221, Asunción, Paraguay
Tel: 595 (021) 4149000&amp;R&amp;10Dirección de Caminos Vecinales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1"/>
  <sheetViews>
    <sheetView view="pageBreakPreview" zoomScaleSheetLayoutView="100" workbookViewId="0">
      <selection activeCell="F35" sqref="F35"/>
    </sheetView>
  </sheetViews>
  <sheetFormatPr defaultColWidth="11.42578125" defaultRowHeight="12.75" x14ac:dyDescent="0.2"/>
  <cols>
    <col min="1" max="1" width="14" style="16" customWidth="1"/>
    <col min="2" max="2" width="14" style="16" hidden="1" customWidth="1"/>
    <col min="3" max="3" width="52.85546875" style="16" customWidth="1"/>
    <col min="4" max="4" width="22.5703125" style="16" hidden="1" customWidth="1"/>
    <col min="5" max="5" width="13.28515625" style="16" hidden="1" customWidth="1"/>
    <col min="6" max="6" width="9.7109375" style="16" customWidth="1"/>
    <col min="7" max="7" width="9.5703125" style="16" customWidth="1"/>
    <col min="8" max="8" width="11" style="16" customWidth="1"/>
    <col min="9" max="10" width="9.5703125" style="16" customWidth="1"/>
    <col min="11" max="11" width="23.85546875" style="16" customWidth="1"/>
    <col min="12" max="12" width="17.5703125" style="16" hidden="1" customWidth="1"/>
    <col min="13" max="14" width="12.28515625" style="16" hidden="1" customWidth="1"/>
    <col min="15" max="15" width="14" style="16" hidden="1" customWidth="1"/>
    <col min="16" max="17" width="0" style="16" hidden="1" customWidth="1"/>
    <col min="18" max="18" width="18.42578125" style="16" hidden="1" customWidth="1"/>
    <col min="19" max="19" width="20.7109375" style="16" bestFit="1" customWidth="1"/>
    <col min="20" max="16384" width="11.42578125" style="16"/>
  </cols>
  <sheetData>
    <row r="1" spans="1:19" ht="16.5" x14ac:dyDescent="0.3">
      <c r="A1" s="358" t="s">
        <v>154</v>
      </c>
      <c r="B1" s="358"/>
      <c r="C1" s="359"/>
      <c r="D1" s="31"/>
      <c r="E1" s="31"/>
    </row>
    <row r="2" spans="1:19" s="30" customFormat="1" ht="12.75" customHeight="1" x14ac:dyDescent="0.2">
      <c r="A2" s="310" t="s">
        <v>96</v>
      </c>
      <c r="B2" s="312" t="s">
        <v>91</v>
      </c>
      <c r="C2" s="122" t="s">
        <v>90</v>
      </c>
      <c r="D2" s="312" t="s">
        <v>89</v>
      </c>
      <c r="E2" s="101"/>
      <c r="F2" s="312" t="s">
        <v>88</v>
      </c>
      <c r="G2" s="101"/>
      <c r="H2" s="289" t="s">
        <v>87</v>
      </c>
      <c r="I2" s="290"/>
      <c r="J2" s="290"/>
      <c r="K2" s="291"/>
      <c r="L2" s="129"/>
      <c r="M2" s="344"/>
      <c r="N2" s="345"/>
      <c r="O2" s="129"/>
      <c r="P2" s="344" t="s">
        <v>86</v>
      </c>
      <c r="Q2" s="345"/>
      <c r="R2" s="130"/>
      <c r="S2" s="312" t="s">
        <v>367</v>
      </c>
    </row>
    <row r="3" spans="1:19" s="30" customFormat="1" ht="76.5" customHeight="1" x14ac:dyDescent="0.2">
      <c r="A3" s="311"/>
      <c r="B3" s="313"/>
      <c r="C3" s="101" t="s">
        <v>85</v>
      </c>
      <c r="D3" s="313"/>
      <c r="E3" s="102" t="s">
        <v>128</v>
      </c>
      <c r="F3" s="313"/>
      <c r="G3" s="102" t="s">
        <v>84</v>
      </c>
      <c r="H3" s="102" t="s">
        <v>83</v>
      </c>
      <c r="I3" s="102" t="s">
        <v>82</v>
      </c>
      <c r="J3" s="102" t="s">
        <v>81</v>
      </c>
      <c r="K3" s="102" t="s">
        <v>80</v>
      </c>
      <c r="L3" s="131" t="s">
        <v>79</v>
      </c>
      <c r="M3" s="346" t="s">
        <v>78</v>
      </c>
      <c r="N3" s="347"/>
      <c r="O3" s="131" t="s">
        <v>77</v>
      </c>
      <c r="P3" s="346"/>
      <c r="Q3" s="347"/>
      <c r="R3" s="132" t="s">
        <v>76</v>
      </c>
      <c r="S3" s="313"/>
    </row>
    <row r="4" spans="1:19" s="30" customFormat="1" x14ac:dyDescent="0.2">
      <c r="A4" s="122" t="s">
        <v>75</v>
      </c>
      <c r="B4" s="314"/>
      <c r="C4" s="121" t="s">
        <v>74</v>
      </c>
      <c r="D4" s="314"/>
      <c r="E4" s="103"/>
      <c r="F4" s="314"/>
      <c r="G4" s="103"/>
      <c r="H4" s="103"/>
      <c r="I4" s="103"/>
      <c r="J4" s="103"/>
      <c r="K4" s="103"/>
      <c r="L4" s="133"/>
      <c r="M4" s="348"/>
      <c r="N4" s="349"/>
      <c r="O4" s="133"/>
      <c r="P4" s="348"/>
      <c r="Q4" s="349"/>
      <c r="R4" s="134"/>
      <c r="S4" s="314"/>
    </row>
    <row r="5" spans="1:19" x14ac:dyDescent="0.2">
      <c r="A5" s="338">
        <v>14219</v>
      </c>
      <c r="B5" s="106"/>
      <c r="C5" s="363" t="s">
        <v>153</v>
      </c>
      <c r="D5" s="108"/>
      <c r="E5" s="108"/>
      <c r="F5" s="338">
        <v>19</v>
      </c>
      <c r="G5" s="341" t="s">
        <v>45</v>
      </c>
      <c r="H5" s="107">
        <v>8</v>
      </c>
      <c r="I5" s="107">
        <v>4</v>
      </c>
      <c r="J5" s="107" t="s">
        <v>43</v>
      </c>
      <c r="K5" s="107" t="s">
        <v>152</v>
      </c>
      <c r="L5" s="107"/>
      <c r="M5" s="99"/>
      <c r="N5" s="100"/>
      <c r="O5" s="23"/>
      <c r="P5" s="111"/>
      <c r="Q5" s="112"/>
      <c r="R5" s="94"/>
      <c r="S5" s="247" t="s">
        <v>425</v>
      </c>
    </row>
    <row r="6" spans="1:19" x14ac:dyDescent="0.2">
      <c r="A6" s="339"/>
      <c r="B6" s="106"/>
      <c r="C6" s="403"/>
      <c r="D6" s="108"/>
      <c r="E6" s="108"/>
      <c r="F6" s="339"/>
      <c r="G6" s="342"/>
      <c r="H6" s="107">
        <v>8</v>
      </c>
      <c r="I6" s="107">
        <v>4</v>
      </c>
      <c r="J6" s="107" t="s">
        <v>43</v>
      </c>
      <c r="K6" s="242" t="s">
        <v>426</v>
      </c>
      <c r="L6" s="107"/>
      <c r="M6" s="99"/>
      <c r="N6" s="100"/>
      <c r="O6" s="23"/>
      <c r="P6" s="111"/>
      <c r="Q6" s="112"/>
      <c r="R6" s="94"/>
      <c r="S6" s="247" t="s">
        <v>425</v>
      </c>
    </row>
    <row r="7" spans="1:19" x14ac:dyDescent="0.2">
      <c r="A7" s="340"/>
      <c r="B7" s="106" t="s">
        <v>73</v>
      </c>
      <c r="C7" s="364"/>
      <c r="D7" s="108" t="s">
        <v>71</v>
      </c>
      <c r="E7" s="108"/>
      <c r="F7" s="340"/>
      <c r="G7" s="343"/>
      <c r="H7" s="107">
        <v>6</v>
      </c>
      <c r="I7" s="107">
        <v>4</v>
      </c>
      <c r="J7" s="107" t="s">
        <v>43</v>
      </c>
      <c r="K7" s="107" t="s">
        <v>151</v>
      </c>
      <c r="L7" s="107" t="s">
        <v>41</v>
      </c>
      <c r="M7" s="352" t="s">
        <v>40</v>
      </c>
      <c r="N7" s="353"/>
      <c r="O7" s="21">
        <v>2112000</v>
      </c>
      <c r="P7" s="401">
        <v>35.200000000000003</v>
      </c>
      <c r="Q7" s="402"/>
      <c r="R7" s="94">
        <v>35.200000000000003</v>
      </c>
      <c r="S7" s="247" t="s">
        <v>425</v>
      </c>
    </row>
    <row r="8" spans="1:19" x14ac:dyDescent="0.2">
      <c r="A8" s="338">
        <v>143059</v>
      </c>
      <c r="B8" s="106"/>
      <c r="C8" s="363" t="s">
        <v>150</v>
      </c>
      <c r="D8" s="108"/>
      <c r="E8" s="108"/>
      <c r="F8" s="338">
        <v>3</v>
      </c>
      <c r="G8" s="341" t="s">
        <v>54</v>
      </c>
      <c r="H8" s="107">
        <v>12</v>
      </c>
      <c r="I8" s="107">
        <v>4</v>
      </c>
      <c r="J8" s="107" t="s">
        <v>43</v>
      </c>
      <c r="K8" s="107" t="s">
        <v>149</v>
      </c>
      <c r="L8" s="107"/>
      <c r="M8" s="97"/>
      <c r="N8" s="98"/>
      <c r="O8" s="21"/>
      <c r="P8" s="111"/>
      <c r="Q8" s="112"/>
      <c r="R8" s="94"/>
      <c r="S8" s="244" t="s">
        <v>427</v>
      </c>
    </row>
    <row r="9" spans="1:19" x14ac:dyDescent="0.2">
      <c r="A9" s="340"/>
      <c r="B9" s="106"/>
      <c r="C9" s="364"/>
      <c r="D9" s="108"/>
      <c r="E9" s="108"/>
      <c r="F9" s="340"/>
      <c r="G9" s="343"/>
      <c r="H9" s="107">
        <v>25</v>
      </c>
      <c r="I9" s="107">
        <v>4</v>
      </c>
      <c r="J9" s="107" t="s">
        <v>43</v>
      </c>
      <c r="K9" s="107" t="s">
        <v>148</v>
      </c>
      <c r="L9" s="107"/>
      <c r="M9" s="97"/>
      <c r="N9" s="98"/>
      <c r="O9" s="21"/>
      <c r="P9" s="111"/>
      <c r="Q9" s="112"/>
      <c r="R9" s="94"/>
      <c r="S9" s="244" t="s">
        <v>427</v>
      </c>
    </row>
    <row r="10" spans="1:19" x14ac:dyDescent="0.2">
      <c r="A10" s="338">
        <v>143058</v>
      </c>
      <c r="B10" s="106"/>
      <c r="C10" s="363" t="s">
        <v>147</v>
      </c>
      <c r="D10" s="108"/>
      <c r="E10" s="108"/>
      <c r="F10" s="338">
        <v>12</v>
      </c>
      <c r="G10" s="341" t="s">
        <v>54</v>
      </c>
      <c r="H10" s="107">
        <v>9</v>
      </c>
      <c r="I10" s="107">
        <v>4</v>
      </c>
      <c r="J10" s="107" t="s">
        <v>43</v>
      </c>
      <c r="K10" s="107" t="s">
        <v>146</v>
      </c>
      <c r="L10" s="107"/>
      <c r="M10" s="97"/>
      <c r="N10" s="98"/>
      <c r="O10" s="21"/>
      <c r="P10" s="111"/>
      <c r="Q10" s="112"/>
      <c r="R10" s="94"/>
      <c r="S10" s="244" t="s">
        <v>427</v>
      </c>
    </row>
    <row r="11" spans="1:19" x14ac:dyDescent="0.2">
      <c r="A11" s="339"/>
      <c r="B11" s="106"/>
      <c r="C11" s="403"/>
      <c r="D11" s="108"/>
      <c r="E11" s="108"/>
      <c r="F11" s="339"/>
      <c r="G11" s="342"/>
      <c r="H11" s="107">
        <v>12</v>
      </c>
      <c r="I11" s="107">
        <v>4</v>
      </c>
      <c r="J11" s="107" t="s">
        <v>43</v>
      </c>
      <c r="K11" s="107" t="s">
        <v>145</v>
      </c>
      <c r="L11" s="107"/>
      <c r="M11" s="97"/>
      <c r="N11" s="98"/>
      <c r="O11" s="21"/>
      <c r="P11" s="111"/>
      <c r="Q11" s="112"/>
      <c r="R11" s="94"/>
      <c r="S11" s="244" t="s">
        <v>427</v>
      </c>
    </row>
    <row r="12" spans="1:19" x14ac:dyDescent="0.2">
      <c r="A12" s="339"/>
      <c r="B12" s="106"/>
      <c r="C12" s="403"/>
      <c r="D12" s="108"/>
      <c r="E12" s="108"/>
      <c r="F12" s="339"/>
      <c r="G12" s="342"/>
      <c r="H12" s="107">
        <v>10</v>
      </c>
      <c r="I12" s="107">
        <v>4</v>
      </c>
      <c r="J12" s="107" t="s">
        <v>43</v>
      </c>
      <c r="K12" s="107" t="s">
        <v>144</v>
      </c>
      <c r="L12" s="107"/>
      <c r="M12" s="97"/>
      <c r="N12" s="98"/>
      <c r="O12" s="21"/>
      <c r="P12" s="111"/>
      <c r="Q12" s="112"/>
      <c r="R12" s="94"/>
      <c r="S12" s="244" t="s">
        <v>427</v>
      </c>
    </row>
    <row r="13" spans="1:19" x14ac:dyDescent="0.2">
      <c r="A13" s="340"/>
      <c r="B13" s="106"/>
      <c r="C13" s="364"/>
      <c r="D13" s="108"/>
      <c r="E13" s="108"/>
      <c r="F13" s="340"/>
      <c r="G13" s="343"/>
      <c r="H13" s="107">
        <v>12</v>
      </c>
      <c r="I13" s="107">
        <v>4</v>
      </c>
      <c r="J13" s="107" t="s">
        <v>43</v>
      </c>
      <c r="K13" s="107" t="s">
        <v>143</v>
      </c>
      <c r="L13" s="107"/>
      <c r="M13" s="97"/>
      <c r="N13" s="98"/>
      <c r="O13" s="21"/>
      <c r="P13" s="111"/>
      <c r="Q13" s="112"/>
      <c r="R13" s="94"/>
      <c r="S13" s="244" t="s">
        <v>427</v>
      </c>
    </row>
    <row r="14" spans="1:19" x14ac:dyDescent="0.2">
      <c r="A14" s="338">
        <v>143057</v>
      </c>
      <c r="B14" s="106"/>
      <c r="C14" s="363" t="s">
        <v>142</v>
      </c>
      <c r="D14" s="108"/>
      <c r="E14" s="108"/>
      <c r="F14" s="338">
        <v>20</v>
      </c>
      <c r="G14" s="341" t="s">
        <v>44</v>
      </c>
      <c r="H14" s="107">
        <v>7</v>
      </c>
      <c r="I14" s="107">
        <v>4</v>
      </c>
      <c r="J14" s="107" t="s">
        <v>43</v>
      </c>
      <c r="K14" s="107" t="s">
        <v>141</v>
      </c>
      <c r="L14" s="107"/>
      <c r="M14" s="97"/>
      <c r="N14" s="98"/>
      <c r="O14" s="21"/>
      <c r="P14" s="111"/>
      <c r="Q14" s="112"/>
      <c r="R14" s="94"/>
      <c r="S14" s="244" t="s">
        <v>427</v>
      </c>
    </row>
    <row r="15" spans="1:19" x14ac:dyDescent="0.2">
      <c r="A15" s="339"/>
      <c r="B15" s="106"/>
      <c r="C15" s="403"/>
      <c r="D15" s="108"/>
      <c r="E15" s="108"/>
      <c r="F15" s="339"/>
      <c r="G15" s="342"/>
      <c r="H15" s="107">
        <v>6</v>
      </c>
      <c r="I15" s="107">
        <v>4</v>
      </c>
      <c r="J15" s="107" t="s">
        <v>43</v>
      </c>
      <c r="K15" s="107" t="s">
        <v>140</v>
      </c>
      <c r="L15" s="107"/>
      <c r="M15" s="97"/>
      <c r="N15" s="98"/>
      <c r="O15" s="21"/>
      <c r="P15" s="111"/>
      <c r="Q15" s="112"/>
      <c r="R15" s="94"/>
      <c r="S15" s="244" t="s">
        <v>427</v>
      </c>
    </row>
    <row r="16" spans="1:19" x14ac:dyDescent="0.2">
      <c r="A16" s="339"/>
      <c r="B16" s="106"/>
      <c r="C16" s="403"/>
      <c r="D16" s="108"/>
      <c r="E16" s="108"/>
      <c r="F16" s="339"/>
      <c r="G16" s="342"/>
      <c r="H16" s="107">
        <v>6</v>
      </c>
      <c r="I16" s="107">
        <v>4</v>
      </c>
      <c r="J16" s="107" t="s">
        <v>43</v>
      </c>
      <c r="K16" s="107" t="s">
        <v>139</v>
      </c>
      <c r="L16" s="107"/>
      <c r="M16" s="97"/>
      <c r="N16" s="98"/>
      <c r="O16" s="21"/>
      <c r="P16" s="111"/>
      <c r="Q16" s="112"/>
      <c r="R16" s="94"/>
      <c r="S16" s="244" t="s">
        <v>427</v>
      </c>
    </row>
    <row r="17" spans="1:19" x14ac:dyDescent="0.2">
      <c r="A17" s="340"/>
      <c r="B17" s="106"/>
      <c r="C17" s="364"/>
      <c r="D17" s="108"/>
      <c r="E17" s="108"/>
      <c r="F17" s="340"/>
      <c r="G17" s="343"/>
      <c r="H17" s="107">
        <v>6</v>
      </c>
      <c r="I17" s="107">
        <v>4</v>
      </c>
      <c r="J17" s="107" t="s">
        <v>43</v>
      </c>
      <c r="K17" s="107" t="s">
        <v>138</v>
      </c>
      <c r="L17" s="107"/>
      <c r="M17" s="97"/>
      <c r="N17" s="98"/>
      <c r="O17" s="21"/>
      <c r="P17" s="111"/>
      <c r="Q17" s="112"/>
      <c r="R17" s="94"/>
      <c r="S17" s="244" t="s">
        <v>427</v>
      </c>
    </row>
    <row r="18" spans="1:19" x14ac:dyDescent="0.2">
      <c r="A18" s="338">
        <v>14207</v>
      </c>
      <c r="B18" s="106"/>
      <c r="C18" s="363" t="s">
        <v>137</v>
      </c>
      <c r="D18" s="108"/>
      <c r="E18" s="108"/>
      <c r="F18" s="338">
        <v>3</v>
      </c>
      <c r="G18" s="341" t="s">
        <v>54</v>
      </c>
      <c r="H18" s="107">
        <v>10</v>
      </c>
      <c r="I18" s="107">
        <v>4</v>
      </c>
      <c r="J18" s="107" t="s">
        <v>43</v>
      </c>
      <c r="K18" s="107" t="s">
        <v>136</v>
      </c>
      <c r="L18" s="107"/>
      <c r="M18" s="97"/>
      <c r="N18" s="98"/>
      <c r="O18" s="21"/>
      <c r="P18" s="111"/>
      <c r="Q18" s="112"/>
      <c r="R18" s="94"/>
      <c r="S18" s="244" t="s">
        <v>428</v>
      </c>
    </row>
    <row r="19" spans="1:19" x14ac:dyDescent="0.2">
      <c r="A19" s="340"/>
      <c r="B19" s="106"/>
      <c r="C19" s="364"/>
      <c r="D19" s="108"/>
      <c r="E19" s="108"/>
      <c r="F19" s="340"/>
      <c r="G19" s="343"/>
      <c r="H19" s="107">
        <v>18</v>
      </c>
      <c r="I19" s="107">
        <v>4</v>
      </c>
      <c r="J19" s="107" t="s">
        <v>43</v>
      </c>
      <c r="K19" s="107" t="s">
        <v>135</v>
      </c>
      <c r="L19" s="107"/>
      <c r="M19" s="97"/>
      <c r="N19" s="98"/>
      <c r="O19" s="21"/>
      <c r="P19" s="111"/>
      <c r="Q19" s="112"/>
      <c r="R19" s="94"/>
      <c r="S19" s="244" t="s">
        <v>428</v>
      </c>
    </row>
    <row r="20" spans="1:19" x14ac:dyDescent="0.2">
      <c r="A20" s="338">
        <v>14205</v>
      </c>
      <c r="B20" s="106"/>
      <c r="C20" s="363" t="s">
        <v>134</v>
      </c>
      <c r="D20" s="108"/>
      <c r="E20" s="108"/>
      <c r="F20" s="338">
        <v>10</v>
      </c>
      <c r="G20" s="341" t="s">
        <v>44</v>
      </c>
      <c r="H20" s="107">
        <v>15</v>
      </c>
      <c r="I20" s="107">
        <v>5</v>
      </c>
      <c r="J20" s="107" t="s">
        <v>43</v>
      </c>
      <c r="K20" s="107" t="s">
        <v>133</v>
      </c>
      <c r="L20" s="107"/>
      <c r="M20" s="97"/>
      <c r="N20" s="98"/>
      <c r="O20" s="21"/>
      <c r="P20" s="111"/>
      <c r="Q20" s="112"/>
      <c r="R20" s="94"/>
      <c r="S20" s="244" t="s">
        <v>429</v>
      </c>
    </row>
    <row r="21" spans="1:19" x14ac:dyDescent="0.2">
      <c r="A21" s="340"/>
      <c r="B21" s="106"/>
      <c r="C21" s="364"/>
      <c r="D21" s="108"/>
      <c r="E21" s="108"/>
      <c r="F21" s="340"/>
      <c r="G21" s="343"/>
      <c r="H21" s="107">
        <v>13</v>
      </c>
      <c r="I21" s="107">
        <v>6</v>
      </c>
      <c r="J21" s="107" t="s">
        <v>43</v>
      </c>
      <c r="K21" s="107" t="s">
        <v>132</v>
      </c>
      <c r="L21" s="107"/>
      <c r="M21" s="97"/>
      <c r="N21" s="98"/>
      <c r="O21" s="21"/>
      <c r="P21" s="111"/>
      <c r="Q21" s="112"/>
      <c r="R21" s="94"/>
      <c r="S21" s="244" t="s">
        <v>429</v>
      </c>
    </row>
    <row r="22" spans="1:19" x14ac:dyDescent="0.2">
      <c r="A22" s="106">
        <v>143006</v>
      </c>
      <c r="B22" s="106"/>
      <c r="C22" s="208" t="s">
        <v>131</v>
      </c>
      <c r="D22" s="108"/>
      <c r="E22" s="108"/>
      <c r="F22" s="106">
        <v>5</v>
      </c>
      <c r="G22" s="107" t="s">
        <v>54</v>
      </c>
      <c r="H22" s="107">
        <v>12</v>
      </c>
      <c r="I22" s="107">
        <v>4</v>
      </c>
      <c r="J22" s="107" t="s">
        <v>43</v>
      </c>
      <c r="K22" s="107" t="s">
        <v>130</v>
      </c>
      <c r="L22" s="107"/>
      <c r="M22" s="97"/>
      <c r="N22" s="98"/>
      <c r="O22" s="21"/>
      <c r="P22" s="111"/>
      <c r="Q22" s="112"/>
      <c r="R22" s="94"/>
      <c r="S22" s="244" t="s">
        <v>430</v>
      </c>
    </row>
    <row r="23" spans="1:19" x14ac:dyDescent="0.2">
      <c r="A23" s="338">
        <v>14220</v>
      </c>
      <c r="B23" s="265"/>
      <c r="C23" s="404" t="s">
        <v>434</v>
      </c>
      <c r="D23" s="268"/>
      <c r="E23" s="268"/>
      <c r="F23" s="338">
        <v>21</v>
      </c>
      <c r="G23" s="341" t="s">
        <v>45</v>
      </c>
      <c r="H23" s="267">
        <v>10</v>
      </c>
      <c r="I23" s="267">
        <v>4</v>
      </c>
      <c r="J23" s="267" t="s">
        <v>43</v>
      </c>
      <c r="K23" s="267" t="s">
        <v>435</v>
      </c>
      <c r="L23" s="267"/>
      <c r="M23" s="34"/>
      <c r="N23" s="34"/>
      <c r="O23" s="21"/>
      <c r="P23" s="272"/>
      <c r="Q23" s="272"/>
      <c r="R23" s="273"/>
      <c r="S23" s="244" t="s">
        <v>425</v>
      </c>
    </row>
    <row r="24" spans="1:19" x14ac:dyDescent="0.2">
      <c r="A24" s="339"/>
      <c r="B24" s="265"/>
      <c r="C24" s="405"/>
      <c r="D24" s="268"/>
      <c r="E24" s="268"/>
      <c r="F24" s="339"/>
      <c r="G24" s="342"/>
      <c r="H24" s="267">
        <v>5</v>
      </c>
      <c r="I24" s="267">
        <v>4</v>
      </c>
      <c r="J24" s="267" t="s">
        <v>43</v>
      </c>
      <c r="K24" s="267" t="s">
        <v>436</v>
      </c>
      <c r="L24" s="267"/>
      <c r="M24" s="34"/>
      <c r="N24" s="34"/>
      <c r="O24" s="21"/>
      <c r="P24" s="272"/>
      <c r="Q24" s="272"/>
      <c r="R24" s="273"/>
      <c r="S24" s="244" t="s">
        <v>425</v>
      </c>
    </row>
    <row r="25" spans="1:19" x14ac:dyDescent="0.2">
      <c r="A25" s="339"/>
      <c r="B25" s="265"/>
      <c r="C25" s="405"/>
      <c r="D25" s="268"/>
      <c r="E25" s="268"/>
      <c r="F25" s="339"/>
      <c r="G25" s="342"/>
      <c r="H25" s="267">
        <v>5</v>
      </c>
      <c r="I25" s="267">
        <v>4</v>
      </c>
      <c r="J25" s="267" t="s">
        <v>43</v>
      </c>
      <c r="K25" s="267" t="s">
        <v>437</v>
      </c>
      <c r="L25" s="267"/>
      <c r="M25" s="34"/>
      <c r="N25" s="34"/>
      <c r="O25" s="21"/>
      <c r="P25" s="272"/>
      <c r="Q25" s="272"/>
      <c r="R25" s="273"/>
      <c r="S25" s="244" t="s">
        <v>425</v>
      </c>
    </row>
    <row r="26" spans="1:19" x14ac:dyDescent="0.2">
      <c r="A26" s="339"/>
      <c r="B26" s="265"/>
      <c r="C26" s="405"/>
      <c r="D26" s="268"/>
      <c r="E26" s="268"/>
      <c r="F26" s="339"/>
      <c r="G26" s="342"/>
      <c r="H26" s="267">
        <v>11</v>
      </c>
      <c r="I26" s="267">
        <v>4</v>
      </c>
      <c r="J26" s="267" t="s">
        <v>43</v>
      </c>
      <c r="K26" s="267" t="s">
        <v>438</v>
      </c>
      <c r="L26" s="267"/>
      <c r="M26" s="34"/>
      <c r="N26" s="34"/>
      <c r="O26" s="21"/>
      <c r="P26" s="272"/>
      <c r="Q26" s="272"/>
      <c r="R26" s="273"/>
      <c r="S26" s="244" t="s">
        <v>425</v>
      </c>
    </row>
    <row r="27" spans="1:19" x14ac:dyDescent="0.2">
      <c r="A27" s="339"/>
      <c r="B27" s="265"/>
      <c r="C27" s="405"/>
      <c r="D27" s="268"/>
      <c r="E27" s="268"/>
      <c r="F27" s="339"/>
      <c r="G27" s="342"/>
      <c r="H27" s="267">
        <v>28</v>
      </c>
      <c r="I27" s="267">
        <v>4</v>
      </c>
      <c r="J27" s="267" t="s">
        <v>43</v>
      </c>
      <c r="K27" s="267" t="s">
        <v>439</v>
      </c>
      <c r="L27" s="267"/>
      <c r="M27" s="34"/>
      <c r="N27" s="34"/>
      <c r="O27" s="21"/>
      <c r="P27" s="272"/>
      <c r="Q27" s="272"/>
      <c r="R27" s="273"/>
      <c r="S27" s="244" t="s">
        <v>425</v>
      </c>
    </row>
    <row r="28" spans="1:19" x14ac:dyDescent="0.2">
      <c r="A28" s="339"/>
      <c r="B28" s="265"/>
      <c r="C28" s="405"/>
      <c r="D28" s="268"/>
      <c r="E28" s="268"/>
      <c r="F28" s="339"/>
      <c r="G28" s="342"/>
      <c r="H28" s="267">
        <v>6</v>
      </c>
      <c r="I28" s="267">
        <v>4</v>
      </c>
      <c r="J28" s="267" t="s">
        <v>43</v>
      </c>
      <c r="K28" s="267" t="s">
        <v>440</v>
      </c>
      <c r="L28" s="267"/>
      <c r="M28" s="34"/>
      <c r="N28" s="34"/>
      <c r="O28" s="21"/>
      <c r="P28" s="272"/>
      <c r="Q28" s="272"/>
      <c r="R28" s="273"/>
      <c r="S28" s="244" t="s">
        <v>424</v>
      </c>
    </row>
    <row r="29" spans="1:19" x14ac:dyDescent="0.2">
      <c r="A29" s="339"/>
      <c r="B29" s="265"/>
      <c r="C29" s="405"/>
      <c r="D29" s="268"/>
      <c r="E29" s="268"/>
      <c r="F29" s="339"/>
      <c r="G29" s="342"/>
      <c r="H29" s="267">
        <v>6</v>
      </c>
      <c r="I29" s="267">
        <v>4</v>
      </c>
      <c r="J29" s="267" t="s">
        <v>43</v>
      </c>
      <c r="K29" s="267" t="s">
        <v>441</v>
      </c>
      <c r="L29" s="267"/>
      <c r="M29" s="34"/>
      <c r="N29" s="34"/>
      <c r="O29" s="21"/>
      <c r="P29" s="272"/>
      <c r="Q29" s="272"/>
      <c r="R29" s="273"/>
      <c r="S29" s="244" t="s">
        <v>424</v>
      </c>
    </row>
    <row r="30" spans="1:19" x14ac:dyDescent="0.2">
      <c r="A30" s="339"/>
      <c r="B30" s="265"/>
      <c r="C30" s="405"/>
      <c r="D30" s="268"/>
      <c r="E30" s="268"/>
      <c r="F30" s="339"/>
      <c r="G30" s="342"/>
      <c r="H30" s="267">
        <v>6</v>
      </c>
      <c r="I30" s="267">
        <v>4</v>
      </c>
      <c r="J30" s="267" t="s">
        <v>43</v>
      </c>
      <c r="K30" s="267" t="s">
        <v>442</v>
      </c>
      <c r="L30" s="267"/>
      <c r="M30" s="34"/>
      <c r="N30" s="34"/>
      <c r="O30" s="21"/>
      <c r="P30" s="272"/>
      <c r="Q30" s="272"/>
      <c r="R30" s="273"/>
      <c r="S30" s="244" t="s">
        <v>424</v>
      </c>
    </row>
    <row r="31" spans="1:19" s="126" customFormat="1" ht="18" x14ac:dyDescent="0.25">
      <c r="C31" s="214"/>
      <c r="G31" s="127" t="s">
        <v>42</v>
      </c>
      <c r="H31" s="128">
        <f>SUM(H5:H30)</f>
        <v>272</v>
      </c>
    </row>
  </sheetData>
  <mergeCells count="41">
    <mergeCell ref="A23:A30"/>
    <mergeCell ref="C23:C30"/>
    <mergeCell ref="G23:G30"/>
    <mergeCell ref="F23:F30"/>
    <mergeCell ref="G18:G19"/>
    <mergeCell ref="F18:F19"/>
    <mergeCell ref="C18:C19"/>
    <mergeCell ref="A18:A19"/>
    <mergeCell ref="G20:G21"/>
    <mergeCell ref="F20:F21"/>
    <mergeCell ref="C20:C21"/>
    <mergeCell ref="A20:A21"/>
    <mergeCell ref="G14:G17"/>
    <mergeCell ref="F14:F17"/>
    <mergeCell ref="C14:C17"/>
    <mergeCell ref="A14:A17"/>
    <mergeCell ref="A8:A9"/>
    <mergeCell ref="C8:C9"/>
    <mergeCell ref="F8:F9"/>
    <mergeCell ref="G8:G9"/>
    <mergeCell ref="G10:G13"/>
    <mergeCell ref="F10:F13"/>
    <mergeCell ref="C10:C13"/>
    <mergeCell ref="A10:A13"/>
    <mergeCell ref="A1:C1"/>
    <mergeCell ref="A2:A3"/>
    <mergeCell ref="B2:B4"/>
    <mergeCell ref="D2:D4"/>
    <mergeCell ref="F2:F4"/>
    <mergeCell ref="S2:S4"/>
    <mergeCell ref="P7:Q7"/>
    <mergeCell ref="G5:G7"/>
    <mergeCell ref="M7:N7"/>
    <mergeCell ref="A5:A7"/>
    <mergeCell ref="C5:C7"/>
    <mergeCell ref="F5:F7"/>
    <mergeCell ref="P2:Q4"/>
    <mergeCell ref="M2:N2"/>
    <mergeCell ref="M4:N4"/>
    <mergeCell ref="H2:K2"/>
    <mergeCell ref="M3:N3"/>
  </mergeCells>
  <printOptions horizontalCentered="1" verticalCentered="1"/>
  <pageMargins left="0.23622047244094491" right="0.23622047244094491" top="0.78740157480314965" bottom="0.78740157480314965" header="0.19685039370078741" footer="0.19685039370078741"/>
  <pageSetup paperSize="9" scale="88" orientation="landscape" horizontalDpi="300" verticalDpi="300" r:id="rId1"/>
  <headerFooter alignWithMargins="0">
    <oddHeader>&amp;L&amp;G&amp;C&amp;"-,Negrita"&amp;18&amp;A&amp;R&amp;G</oddHeader>
    <oddFooter>&amp;C&amp;"-,Negrita"&amp;10Ministerio de Obras Públicas y Comunicaciones&amp;"-,Normal"
Oliva y Alberdi Nº 411, C.P. Nº 1221, Asunción, Paraguay
Tel: 595 (021) 4149000&amp;R&amp;10Dirección de Caminos Vecinales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/>
</file>

<file path=customXml/item2.xml><?xml version="1.0" encoding="utf-8"?>
<?mso-contentType ?>
<SharedContentType xmlns="Microsoft.SharePoint.Taxonomy.ContentTypeSync" SourceId="ae61f9b1-e23d-4f49-b3d7-56b991556c4b" ContentTypeId="0x0101001A458A224826124E8B45B1D613300CFC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z-Disclosure Operations" ma:contentTypeID="0x0101001A458A224826124E8B45B1D613300CFC00BCF8896E1841C842949D0F901AA0D771" ma:contentTypeVersion="6" ma:contentTypeDescription="A content type to manage public (operations) IDB documents" ma:contentTypeScope="" ma:versionID="0102ec3d50b4e7ef566a89942b7337f4">
  <xsd:schema xmlns:xsd="http://www.w3.org/2001/XMLSchema" xmlns:xs="http://www.w3.org/2001/XMLSchema" xmlns:p="http://schemas.microsoft.com/office/2006/metadata/properties" xmlns:ns2="cdc7663a-08f0-4737-9e8c-148ce897a09c" targetNamespace="http://schemas.microsoft.com/office/2006/metadata/properties" ma:root="true" ma:fieldsID="4a2b00a3559290db0aee23e76ac17fb8" ns2:_="">
    <xsd:import namespace="cdc7663a-08f0-4737-9e8c-148ce897a09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e46fe2894295491da65140ffd2369f49" minOccurs="0"/>
                <xsd:element ref="ns2:TaxCatchAll" minOccurs="0"/>
                <xsd:element ref="ns2:TaxCatchAllLabel" minOccurs="0"/>
                <xsd:element ref="ns2:Access_x0020_to_x0020_Information_x00a0_Policy"/>
                <xsd:element ref="ns2:b26cdb1da78c4bb4b1c1bac2f6ac5911" minOccurs="0"/>
                <xsd:element ref="ns2:Project_x0020_Number"/>
                <xsd:element ref="ns2:Webtopic" minOccurs="0"/>
                <xsd:element ref="ns2:Approval_x0020_Number" minOccurs="0"/>
                <xsd:element ref="ns2:Disclosure_x0020_Activity"/>
                <xsd:element ref="ns2:Document_x0020_Author" minOccurs="0"/>
                <xsd:element ref="ns2:Other_x0020_Author" minOccurs="0"/>
                <xsd:element ref="ns2:g511464f9e53401d84b16fa9b379a574" minOccurs="0"/>
                <xsd:element ref="ns2:nddeef1749674d76abdbe4b239a70bc6" minOccurs="0"/>
                <xsd:element ref="ns2:b2ec7cfb18674cb8803df6b262e8b107" minOccurs="0"/>
                <xsd:element ref="ns2:Document_x0020_Language_x0020_IDB"/>
                <xsd:element ref="ns2:Division_x0020_or_x0020_Unit"/>
                <xsd:element ref="ns2:Identifier" minOccurs="0"/>
                <xsd:element ref="ns2:Fiscal_x0020_Year_x0020_IDB" minOccurs="0"/>
                <xsd:element ref="ns2:ic46d7e087fd4a108fb86518ca413cc6" minOccurs="0"/>
                <xsd:element ref="ns2:Operation_x0020_Type" minOccurs="0"/>
                <xsd:element ref="ns2:Package_x0020_Code" minOccurs="0"/>
                <xsd:element ref="ns2:Phase" minOccurs="0"/>
                <xsd:element ref="ns2:Business_x0020_Area" minOccurs="0"/>
                <xsd:element ref="ns2:Key_x0020_Document" minOccurs="0"/>
                <xsd:element ref="ns2:Project_x0020_Document_x0020_Type" minOccurs="0"/>
                <xsd:element ref="ns2:Abstract" minOccurs="0"/>
                <xsd:element ref="ns2:Migration_x0020_Info" minOccurs="0"/>
                <xsd:element ref="ns2:SISCOR_x0020_Number" minOccurs="0"/>
                <xsd:element ref="ns2:IDBDocs_x0020_Number" minOccurs="0"/>
                <xsd:element ref="ns2:Editor1" minOccurs="0"/>
                <xsd:element ref="ns2:Issue_x0020_Date" minOccurs="0"/>
                <xsd:element ref="ns2:Publishing_x0020_House" minOccurs="0"/>
                <xsd:element ref="ns2:KP_x0020_Topics" minOccurs="0"/>
                <xsd:element ref="ns2:Region" minOccurs="0"/>
                <xsd:element ref="ns2:Publication_x0020_Type" minOccurs="0"/>
                <xsd:element ref="ns2:Disclosed" minOccurs="0"/>
                <xsd:element ref="ns2:Record_x0020_Number" minOccurs="0"/>
                <xsd:element ref="ns2:Related_x0020_SisCor_x0020_Number" minOccurs="0"/>
                <xsd:element ref="ns2:TaxKeywordTaxHTFiel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e46fe2894295491da65140ffd2369f49" ma:index="11" ma:taxonomy="true" ma:internalName="e46fe2894295491da65140ffd2369f49" ma:taxonomyFieldName="Function_x0020_Operations_x0020_IDB" ma:displayName="Function Operations IDB" ma:readOnly="false" ma:default="" ma:fieldId="{e46fe289-4295-491d-a651-40ffd2369f49}" ma:sspId="ae61f9b1-e23d-4f49-b3d7-56b991556c4b" ma:termSetId="90662247-c2d7-4c02-8f80-a99fdf3aec7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304e1e40-5c2d-4772-8def-99c6b9ea1318}" ma:internalName="TaxCatchAll" ma:showField="CatchAllData" ma:web="233f10b4-5a4f-4cf6-afe0-2b7183415a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304e1e40-5c2d-4772-8def-99c6b9ea1318}" ma:internalName="TaxCatchAllLabel" ma:readOnly="true" ma:showField="CatchAllDataLabel" ma:web="233f10b4-5a4f-4cf6-afe0-2b7183415a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ccess_x0020_to_x0020_Information_x00a0_Policy" ma:index="15" ma:displayName="Access to Information Policy" ma:default="Confidential" ma:format="Dropdown" ma:internalName="Access_x0020_to_x0020_Information_x00A0_Policy">
      <xsd:simpleType>
        <xsd:restriction base="dms:Choice">
          <xsd:enumeration value="Confidential"/>
          <xsd:enumeration value="Disclosed Over Time - 5 years"/>
          <xsd:enumeration value="Disclosed Over Time - 10 years"/>
          <xsd:enumeration value="Disclosed Over Time - 20 years"/>
          <xsd:enumeration value="Public"/>
          <xsd:enumeration value="Public - Simultaneous Disclosure"/>
        </xsd:restriction>
      </xsd:simpleType>
    </xsd:element>
    <xsd:element name="b26cdb1da78c4bb4b1c1bac2f6ac5911" ma:index="16" nillable="true" ma:taxonomy="true" ma:internalName="b26cdb1da78c4bb4b1c1bac2f6ac5911" ma:taxonomyFieldName="Series_x0020_Operations_x0020_IDB" ma:displayName="Series Operations IDB" ma:default="" ma:fieldId="{b26cdb1d-a78c-4bb4-b1c1-bac2f6ac5911}" ma:sspId="ae61f9b1-e23d-4f49-b3d7-56b991556c4b" ma:termSetId="aa8fb583-e935-416d-8a2e-4b97a8eb068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roject_x0020_Number" ma:index="18" ma:displayName="Project Number" ma:internalName="Project_x0020_Number" ma:readOnly="false">
      <xsd:simpleType>
        <xsd:restriction base="dms:Text">
          <xsd:maxLength value="255"/>
        </xsd:restriction>
      </xsd:simpleType>
    </xsd:element>
    <xsd:element name="Webtopic" ma:index="19" nillable="true" ma:displayName="Webtopic" ma:internalName="Webtopic">
      <xsd:simpleType>
        <xsd:restriction base="dms:Text">
          <xsd:maxLength value="255"/>
        </xsd:restriction>
      </xsd:simpleType>
    </xsd:element>
    <xsd:element name="Approval_x0020_Number" ma:index="20" nillable="true" ma:displayName="Approval Number" ma:internalName="Approval_x0020_Number">
      <xsd:simpleType>
        <xsd:restriction base="dms:Text">
          <xsd:maxLength value="255"/>
        </xsd:restriction>
      </xsd:simpleType>
    </xsd:element>
    <xsd:element name="Disclosure_x0020_Activity" ma:index="21" ma:displayName="Disclosure Activity" ma:internalName="Disclosure_x0020_Activity" ma:readOnly="false">
      <xsd:simpleType>
        <xsd:restriction base="dms:Text">
          <xsd:maxLength value="255"/>
        </xsd:restriction>
      </xsd:simpleType>
    </xsd:element>
    <xsd:element name="Document_x0020_Author" ma:index="22" nillable="true" ma:displayName="Document Author" ma:internalName="Document_x0020_Author">
      <xsd:simpleType>
        <xsd:restriction base="dms:Text">
          <xsd:maxLength value="255"/>
        </xsd:restriction>
      </xsd:simpleType>
    </xsd:element>
    <xsd:element name="Other_x0020_Author" ma:index="23" nillable="true" ma:displayName="Other Author" ma:internalName="Other_x0020_Author">
      <xsd:simpleType>
        <xsd:restriction base="dms:Text">
          <xsd:maxLength value="255"/>
        </xsd:restriction>
      </xsd:simpleType>
    </xsd:element>
    <xsd:element name="g511464f9e53401d84b16fa9b379a574" ma:index="24" nillable="true" ma:taxonomy="true" ma:internalName="g511464f9e53401d84b16fa9b379a574" ma:taxonomyFieldName="Fund_x0020_IDB" ma:displayName="Fund IDB" ma:default="" ma:fieldId="{0511464f-9e53-401d-84b1-6fa9b379a574}" ma:taxonomyMulti="true" ma:sspId="ae61f9b1-e23d-4f49-b3d7-56b991556c4b" ma:termSetId="69abb71a-f64f-4893-ac0e-66eb1be268a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ddeef1749674d76abdbe4b239a70bc6" ma:index="26" nillable="true" ma:taxonomy="true" ma:internalName="nddeef1749674d76abdbe4b239a70bc6" ma:taxonomyFieldName="Sector_x0020_IDB" ma:displayName="Sector IDB" ma:default="" ma:fieldId="{7ddeef17-4967-4d76-abdb-e4b239a70bc6}" ma:taxonomyMulti="true" ma:sspId="ae61f9b1-e23d-4f49-b3d7-56b991556c4b" ma:termSetId="12408410-0417-4253-a5ed-d52c55de15dc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b2ec7cfb18674cb8803df6b262e8b107" ma:index="28" nillable="true" ma:taxonomy="true" ma:internalName="b2ec7cfb18674cb8803df6b262e8b107" ma:taxonomyFieldName="Sub_x002d_Sector" ma:displayName="Sub-Sector" ma:default="" ma:fieldId="{b2ec7cfb-1867-4cb8-803d-f6b262e8b107}" ma:taxonomyMulti="true" ma:sspId="ae61f9b1-e23d-4f49-b3d7-56b991556c4b" ma:termSetId="73c9b9c8-b29b-461e-b5a6-c7e93795fb0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ocument_x0020_Language_x0020_IDB" ma:index="30" ma:displayName="Document Language IDB" ma:format="Dropdown" ma:internalName="Document_x0020_Language_x0020_IDB" ma:readOnly="false">
      <xsd:simpleType>
        <xsd:restriction base="dms:Choice">
          <xsd:enumeration value="English"/>
          <xsd:enumeration value="French"/>
          <xsd:enumeration value="Italian"/>
          <xsd:enumeration value="Japanese"/>
          <xsd:enumeration value="Korean"/>
          <xsd:enumeration value="Other"/>
          <xsd:enumeration value="Portuguese"/>
          <xsd:enumeration value="Spanish"/>
        </xsd:restriction>
      </xsd:simpleType>
    </xsd:element>
    <xsd:element name="Division_x0020_or_x0020_Unit" ma:index="31" ma:displayName="Division or Unit" ma:internalName="Division_x0020_or_x0020_Unit" ma:readOnly="false">
      <xsd:simpleType>
        <xsd:restriction base="dms:Text">
          <xsd:maxLength value="255"/>
        </xsd:restriction>
      </xsd:simpleType>
    </xsd:element>
    <xsd:element name="Identifier" ma:index="32" nillable="true" ma:displayName="Identifier" ma:internalName="Identifier">
      <xsd:simpleType>
        <xsd:restriction base="dms:Text">
          <xsd:maxLength value="255"/>
        </xsd:restriction>
      </xsd:simpleType>
    </xsd:element>
    <xsd:element name="Fiscal_x0020_Year_x0020_IDB" ma:index="33" nillable="true" ma:displayName="Fiscal Year IDB" ma:internalName="Fiscal_x0020_Year_x0020_IDB">
      <xsd:simpleType>
        <xsd:restriction base="dms:Text">
          <xsd:maxLength value="255"/>
        </xsd:restriction>
      </xsd:simpleType>
    </xsd:element>
    <xsd:element name="ic46d7e087fd4a108fb86518ca413cc6" ma:index="34" nillable="true" ma:taxonomy="true" ma:internalName="ic46d7e087fd4a108fb86518ca413cc6" ma:taxonomyFieldName="Country" ma:displayName="Country" ma:default="" ma:fieldId="{2c46d7e0-87fd-4a10-8fb8-6518ca413cc6}" ma:taxonomyMulti="true" ma:sspId="ae61f9b1-e23d-4f49-b3d7-56b991556c4b" ma:termSetId="e1cf2cf4-6e0f-476b-b38c-a4927f870e8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peration_x0020_Type" ma:index="36" nillable="true" ma:displayName="Operation Type" ma:internalName="Operation_x0020_Type">
      <xsd:simpleType>
        <xsd:restriction base="dms:Text">
          <xsd:maxLength value="255"/>
        </xsd:restriction>
      </xsd:simpleType>
    </xsd:element>
    <xsd:element name="Package_x0020_Code" ma:index="37" nillable="true" ma:displayName="Package Code" ma:internalName="Package_x0020_Code">
      <xsd:simpleType>
        <xsd:restriction base="dms:Text">
          <xsd:maxLength value="255"/>
        </xsd:restriction>
      </xsd:simpleType>
    </xsd:element>
    <xsd:element name="Phase" ma:index="38" nillable="true" ma:displayName="Phase" ma:internalName="Phase">
      <xsd:simpleType>
        <xsd:restriction base="dms:Text">
          <xsd:maxLength value="255"/>
        </xsd:restriction>
      </xsd:simpleType>
    </xsd:element>
    <xsd:element name="Business_x0020_Area" ma:index="39" nillable="true" ma:displayName="Business Area" ma:internalName="Business_x0020_Area">
      <xsd:simpleType>
        <xsd:restriction base="dms:Text">
          <xsd:maxLength value="255"/>
        </xsd:restriction>
      </xsd:simpleType>
    </xsd:element>
    <xsd:element name="Key_x0020_Document" ma:index="40" nillable="true" ma:displayName="Key Document" ma:default="0" ma:internalName="Key_x0020_Document">
      <xsd:simpleType>
        <xsd:restriction base="dms:Boolean"/>
      </xsd:simpleType>
    </xsd:element>
    <xsd:element name="Project_x0020_Document_x0020_Type" ma:index="41" nillable="true" ma:displayName="Project Document Type" ma:internalName="Project_x0020_Document_x0020_Type">
      <xsd:simpleType>
        <xsd:restriction base="dms:Text">
          <xsd:maxLength value="255"/>
        </xsd:restriction>
      </xsd:simpleType>
    </xsd:element>
    <xsd:element name="Abstract" ma:index="42" nillable="true" ma:displayName="Abstract" ma:internalName="Abstract">
      <xsd:simpleType>
        <xsd:restriction base="dms:Note"/>
      </xsd:simpleType>
    </xsd:element>
    <xsd:element name="Migration_x0020_Info" ma:index="43" nillable="true" ma:displayName="Migration Info" ma:internalName="Migration_x0020_Info">
      <xsd:simpleType>
        <xsd:restriction base="dms:Note"/>
      </xsd:simpleType>
    </xsd:element>
    <xsd:element name="SISCOR_x0020_Number" ma:index="44" nillable="true" ma:displayName="SISCOR Number" ma:internalName="SISCOR_x0020_Number">
      <xsd:simpleType>
        <xsd:restriction base="dms:Text">
          <xsd:maxLength value="255"/>
        </xsd:restriction>
      </xsd:simpleType>
    </xsd:element>
    <xsd:element name="IDBDocs_x0020_Number" ma:index="45" nillable="true" ma:displayName="IDBDocs Number" ma:internalName="IDBDocs_x0020_Number">
      <xsd:simpleType>
        <xsd:restriction base="dms:Text">
          <xsd:maxLength value="255"/>
        </xsd:restriction>
      </xsd:simpleType>
    </xsd:element>
    <xsd:element name="Editor1" ma:index="46" nillable="true" ma:displayName="Editor" ma:internalName="Editor1">
      <xsd:simpleType>
        <xsd:restriction base="dms:Text">
          <xsd:maxLength value="255"/>
        </xsd:restriction>
      </xsd:simpleType>
    </xsd:element>
    <xsd:element name="Issue_x0020_Date" ma:index="47" nillable="true" ma:displayName="Issue Date" ma:format="DateOnly" ma:internalName="Issue_x0020_Date">
      <xsd:simpleType>
        <xsd:restriction base="dms:DateTime"/>
      </xsd:simpleType>
    </xsd:element>
    <xsd:element name="Publishing_x0020_House" ma:index="48" nillable="true" ma:displayName="Publishing House" ma:internalName="Publishing_x0020_House">
      <xsd:simpleType>
        <xsd:restriction base="dms:Text">
          <xsd:maxLength value="255"/>
        </xsd:restriction>
      </xsd:simpleType>
    </xsd:element>
    <xsd:element name="KP_x0020_Topics" ma:index="49" nillable="true" ma:displayName="KP Topics" ma:internalName="KP_x0020_Topics">
      <xsd:simpleType>
        <xsd:restriction base="dms:Text">
          <xsd:maxLength value="255"/>
        </xsd:restriction>
      </xsd:simpleType>
    </xsd:element>
    <xsd:element name="Region" ma:index="50" nillable="true" ma:displayName="Region" ma:internalName="Region">
      <xsd:simpleType>
        <xsd:restriction base="dms:Text">
          <xsd:maxLength value="255"/>
        </xsd:restriction>
      </xsd:simpleType>
    </xsd:element>
    <xsd:element name="Publication_x0020_Type" ma:index="51" nillable="true" ma:displayName="Publication Type" ma:internalName="Publication_x0020_Type">
      <xsd:simpleType>
        <xsd:restriction base="dms:Text">
          <xsd:maxLength value="255"/>
        </xsd:restriction>
      </xsd:simpleType>
    </xsd:element>
    <xsd:element name="Disclosed" ma:index="52" nillable="true" ma:displayName="Disclosed" ma:default="0" ma:internalName="Disclosed">
      <xsd:simpleType>
        <xsd:restriction base="dms:Boolean"/>
      </xsd:simpleType>
    </xsd:element>
    <xsd:element name="Record_x0020_Number" ma:index="53" nillable="true" ma:displayName="Record Number" ma:internalName="Record_x0020_Number">
      <xsd:simpleType>
        <xsd:restriction base="dms:Text">
          <xsd:maxLength value="255"/>
        </xsd:restriction>
      </xsd:simpleType>
    </xsd:element>
    <xsd:element name="Related_x0020_SisCor_x0020_Number" ma:index="54" nillable="true" ma:displayName="Related SisCor Number" ma:internalName="Related_x0020_SisCor_x0020_Number">
      <xsd:simpleType>
        <xsd:restriction base="dms:Text">
          <xsd:maxLength value="255"/>
        </xsd:restriction>
      </xsd:simpleType>
    </xsd:element>
    <xsd:element name="TaxKeywordTaxHTField" ma:index="55" nillable="true" ma:taxonomy="true" ma:internalName="TaxKeywordTaxHTField" ma:taxonomyFieldName="TaxKeyword" ma:displayName="Tags" ma:fieldId="{23f27201-bee3-471e-b2e7-b64fd8b7ca38}" ma:taxonomyMulti="true" ma:sspId="ae61f9b1-e23d-4f49-b3d7-56b991556c4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_x0020_Document_x0020_Type xmlns="cdc7663a-08f0-4737-9e8c-148ce897a09c" xsi:nil="true"/>
    <Abstract xmlns="cdc7663a-08f0-4737-9e8c-148ce897a09c" xsi:nil="true"/>
    <Record_x0020_Number xmlns="cdc7663a-08f0-4737-9e8c-148ce897a09c" xsi:nil="true"/>
    <Disclosure_x0020_Activity xmlns="cdc7663a-08f0-4737-9e8c-148ce897a09c">Loan Proposal</Disclosure_x0020_Activity>
    <Region xmlns="cdc7663a-08f0-4737-9e8c-148ce897a09c" xsi:nil="true"/>
    <Division_x0020_or_x0020_Unit xmlns="cdc7663a-08f0-4737-9e8c-148ce897a09c">INE/TSP</Division_x0020_or_x0020_Unit>
    <Other_x0020_Author xmlns="cdc7663a-08f0-4737-9e8c-148ce897a09c" xsi:nil="true"/>
    <Key_x0020_Document xmlns="cdc7663a-08f0-4737-9e8c-148ce897a09c">false</Key_x0020_Document>
    <IDBDocs_x0020_Number xmlns="cdc7663a-08f0-4737-9e8c-148ce897a09c">39005667</IDBDocs_x0020_Number>
    <Publication_x0020_Type xmlns="cdc7663a-08f0-4737-9e8c-148ce897a09c" xsi:nil="true"/>
    <Document_x0020_Author xmlns="cdc7663a-08f0-4737-9e8c-148ce897a09c">Lenci Pousada, Vera Lucia</Document_x0020_Author>
    <Operation_x0020_Type xmlns="cdc7663a-08f0-4737-9e8c-148ce897a09c" xsi:nil="true"/>
    <TaxCatchAll xmlns="cdc7663a-08f0-4737-9e8c-148ce897a09c">
      <Value>38</Value>
      <Value>81</Value>
    </TaxCatchAll>
    <Issue_x0020_Date xmlns="cdc7663a-08f0-4737-9e8c-148ce897a09c" xsi:nil="true"/>
    <Fiscal_x0020_Year_x0020_IDB xmlns="cdc7663a-08f0-4737-9e8c-148ce897a09c">2014</Fiscal_x0020_Year_x0020_IDB>
    <TaxKeywordTaxHTField xmlns="cdc7663a-08f0-4737-9e8c-148ce897a09c">
      <Terms xmlns="http://schemas.microsoft.com/office/infopath/2007/PartnerControls"/>
    </TaxKeywordTaxHTField>
    <Project_x0020_Number xmlns="cdc7663a-08f0-4737-9e8c-148ce897a09c">N/A</Project_x0020_Number>
    <Package_x0020_Code xmlns="cdc7663a-08f0-4737-9e8c-148ce897a09c" xsi:nil="true"/>
    <Migration_x0020_Info xmlns="cdc7663a-08f0-4737-9e8c-148ce897a09c">&lt;Data&gt;&lt;APPLICATION&gt;MS EXCEL&lt;/APPLICATION&gt;&lt;STAGE_CODE&gt;LP&lt;/STAGE_CODE&gt;&lt;USER_STAGE&gt;Loan Proposal&lt;/USER_STAGE&gt;&lt;PD_OBJ_TYPE&gt;0&lt;/PD_OBJ_TYPE&gt;&lt;MAKERECORD&gt;N&lt;/MAKERECORD&gt;&lt;/Data&gt;</Migration_x0020_Info>
    <Approval_x0020_Number xmlns="cdc7663a-08f0-4737-9e8c-148ce897a09c" xsi:nil="true"/>
    <Business_x0020_Area xmlns="cdc7663a-08f0-4737-9e8c-148ce897a09c" xsi:nil="true"/>
    <SISCOR_x0020_Number xmlns="cdc7663a-08f0-4737-9e8c-148ce897a09c" xsi:nil="true"/>
    <Webtopic xmlns="cdc7663a-08f0-4737-9e8c-148ce897a09c">Transportation</Webtopic>
    <Publishing_x0020_House xmlns="cdc7663a-08f0-4737-9e8c-148ce897a09c" xsi:nil="true"/>
    <Identifier xmlns="cdc7663a-08f0-4737-9e8c-148ce897a09c">Virginia Navas #2457 TECFILE</Identifier>
    <Disclosed xmlns="cdc7663a-08f0-4737-9e8c-148ce897a09c">false</Disclosed>
    <KP_x0020_Topics xmlns="cdc7663a-08f0-4737-9e8c-148ce897a09c" xsi:nil="true"/>
    <Document_x0020_Language_x0020_IDB xmlns="cdc7663a-08f0-4737-9e8c-148ce897a09c">Spanish</Document_x0020_Language_x0020_IDB>
    <Phase xmlns="cdc7663a-08f0-4737-9e8c-148ce897a09c" xsi:nil="true"/>
    <Editor1 xmlns="cdc7663a-08f0-4737-9e8c-148ce897a09c" xsi:nil="true"/>
    <Access_x0020_to_x0020_Information_x00a0_Policy xmlns="cdc7663a-08f0-4737-9e8c-148ce897a09c">Confidential</Access_x0020_to_x0020_Information_x00a0_Policy>
    <b26cdb1da78c4bb4b1c1bac2f6ac5911 xmlns="cdc7663a-08f0-4737-9e8c-148ce897a09c">
      <Terms xmlns="http://schemas.microsoft.com/office/infopath/2007/PartnerControls"/>
    </b26cdb1da78c4bb4b1c1bac2f6ac5911>
    <ic46d7e087fd4a108fb86518ca413cc6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Paraguay</TermName>
          <TermId xmlns="http://schemas.microsoft.com/office/infopath/2007/PartnerControls">50282442-27e7-4526-9d04-55bf5da33a10</TermId>
        </TermInfo>
      </Terms>
    </ic46d7e087fd4a108fb86518ca413cc6>
    <e46fe2894295491da65140ffd2369f49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IDBDocs</TermName>
          <TermId xmlns="http://schemas.microsoft.com/office/infopath/2007/PartnerControls">cca77002-e150-4b2d-ab1f-1d7a7cdcae16</TermId>
        </TermInfo>
      </Terms>
    </e46fe2894295491da65140ffd2369f49>
    <b2ec7cfb18674cb8803df6b262e8b107 xmlns="cdc7663a-08f0-4737-9e8c-148ce897a09c">
      <Terms xmlns="http://schemas.microsoft.com/office/infopath/2007/PartnerControls"/>
    </b2ec7cfb18674cb8803df6b262e8b107>
    <g511464f9e53401d84b16fa9b379a574 xmlns="cdc7663a-08f0-4737-9e8c-148ce897a09c">
      <Terms xmlns="http://schemas.microsoft.com/office/infopath/2007/PartnerControls"/>
    </g511464f9e53401d84b16fa9b379a574>
    <Related_x0020_SisCor_x0020_Number xmlns="cdc7663a-08f0-4737-9e8c-148ce897a09c" xsi:nil="true"/>
    <nddeef1749674d76abdbe4b239a70bc6 xmlns="cdc7663a-08f0-4737-9e8c-148ce897a09c">
      <Terms xmlns="http://schemas.microsoft.com/office/infopath/2007/PartnerControls"/>
    </nddeef1749674d76abdbe4b239a70bc6>
    <_dlc_DocId xmlns="cdc7663a-08f0-4737-9e8c-148ce897a09c" xsi:nil="true"/>
  </documentManagement>
</p:properties>
</file>

<file path=customXml/item6.xml><?xml version="1.0" encoding="utf-8"?>
<?mso-contentType ?>
<FormUrls xmlns="http://schemas.microsoft.com/sharepoint/v3/contenttype/forms/url">
  <Display>_catalogs/masterpage/ECMForms/DisclosureOperationsCT/View.aspx</Display>
  <Edit>_catalogs/masterpage/ECMForms/DisclosureOperationsCT/Edit.aspx</Edit>
</FormUrls>
</file>

<file path=customXml/itemProps1.xml><?xml version="1.0" encoding="utf-8"?>
<ds:datastoreItem xmlns:ds="http://schemas.openxmlformats.org/officeDocument/2006/customXml" ds:itemID="{9CC64D51-DCB8-48D3-A421-A74C3BE5D949}"/>
</file>

<file path=customXml/itemProps2.xml><?xml version="1.0" encoding="utf-8"?>
<ds:datastoreItem xmlns:ds="http://schemas.openxmlformats.org/officeDocument/2006/customXml" ds:itemID="{B1449E9E-D855-486D-9C65-D43CC70AF890}"/>
</file>

<file path=customXml/itemProps3.xml><?xml version="1.0" encoding="utf-8"?>
<ds:datastoreItem xmlns:ds="http://schemas.openxmlformats.org/officeDocument/2006/customXml" ds:itemID="{A41E910D-2707-4E43-8234-5E95408D52E5}"/>
</file>

<file path=customXml/itemProps4.xml><?xml version="1.0" encoding="utf-8"?>
<ds:datastoreItem xmlns:ds="http://schemas.openxmlformats.org/officeDocument/2006/customXml" ds:itemID="{1454F772-A69B-41B6-91BF-D5EDFC8816E7}"/>
</file>

<file path=customXml/itemProps5.xml><?xml version="1.0" encoding="utf-8"?>
<ds:datastoreItem xmlns:ds="http://schemas.openxmlformats.org/officeDocument/2006/customXml" ds:itemID="{E6382067-6ADC-4F1E-ACDB-26C8108A19BF}"/>
</file>

<file path=customXml/itemProps6.xml><?xml version="1.0" encoding="utf-8"?>
<ds:datastoreItem xmlns:ds="http://schemas.openxmlformats.org/officeDocument/2006/customXml" ds:itemID="{8B2308DF-006C-4EA3-BC37-921083C4BC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RESUMEN</vt:lpstr>
      <vt:lpstr>PAQUETE </vt:lpstr>
      <vt:lpstr>01 Concepción</vt:lpstr>
      <vt:lpstr>02 San Pedro</vt:lpstr>
      <vt:lpstr>03 Cordillera</vt:lpstr>
      <vt:lpstr>04 Guairá</vt:lpstr>
      <vt:lpstr>05 Caaguazú</vt:lpstr>
      <vt:lpstr>06 Caazapá</vt:lpstr>
      <vt:lpstr>07 Itapúa</vt:lpstr>
      <vt:lpstr>08 Misiones</vt:lpstr>
      <vt:lpstr>09 Paraguarí</vt:lpstr>
      <vt:lpstr>10 Alto Paraná</vt:lpstr>
      <vt:lpstr>12 Ñeembucú</vt:lpstr>
      <vt:lpstr>14 Canindeyú</vt:lpstr>
      <vt:lpstr>'01 Concepción'!Print_Area</vt:lpstr>
      <vt:lpstr>'02 San Pedro'!Print_Area</vt:lpstr>
      <vt:lpstr>'03 Cordillera'!Print_Area</vt:lpstr>
      <vt:lpstr>'04 Guairá'!Print_Area</vt:lpstr>
      <vt:lpstr>'05 Caaguazú'!Print_Area</vt:lpstr>
      <vt:lpstr>'06 Caazapá'!Print_Area</vt:lpstr>
      <vt:lpstr>'07 Itapúa'!Print_Area</vt:lpstr>
      <vt:lpstr>'08 Misiones'!Print_Area</vt:lpstr>
      <vt:lpstr>'09 Paraguarí'!Print_Area</vt:lpstr>
      <vt:lpstr>'10 Alto Paraná'!Print_Area</vt:lpstr>
      <vt:lpstr>'12 Ñeembucú'!Print_Area</vt:lpstr>
      <vt:lpstr>'14 Canindeyú'!Print_Area</vt:lpstr>
      <vt:lpstr>'PAQUETE '!Print_Area</vt:lpstr>
      <vt:lpstr>RESUMEN!Print_Area</vt:lpstr>
    </vt:vector>
  </TitlesOfParts>
  <Company>ESCASA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EEO_4_ Listado preliminar de puentes a ser reemplazados</dc:title>
  <dc:creator>José Espínola</dc:creator>
  <cp:keywords/>
  <cp:lastModifiedBy>Nicolás Dei Castelli</cp:lastModifiedBy>
  <cp:lastPrinted>2014-07-31T15:30:31Z</cp:lastPrinted>
  <dcterms:created xsi:type="dcterms:W3CDTF">2014-05-29T20:20:37Z</dcterms:created>
  <dcterms:modified xsi:type="dcterms:W3CDTF">2014-08-29T16:00:28Z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Sub_x002d_Sector">
    <vt:lpwstr/>
  </property>
  <property fmtid="{D5CDD505-2E9C-101B-9397-08002B2CF9AE}" pid="4" name="ContentTypeId">
    <vt:lpwstr>0x0101001A458A224826124E8B45B1D613300CFC00BCF8896E1841C842949D0F901AA0D771</vt:lpwstr>
  </property>
  <property fmtid="{D5CDD505-2E9C-101B-9397-08002B2CF9AE}" pid="5" name="Series Operations IDB">
    <vt:lpwstr/>
  </property>
  <property fmtid="{D5CDD505-2E9C-101B-9397-08002B2CF9AE}" pid="6" name="Sub-Sector">
    <vt:lpwstr/>
  </property>
  <property fmtid="{D5CDD505-2E9C-101B-9397-08002B2CF9AE}" pid="7" name="Country">
    <vt:lpwstr>38;#Paraguay|50282442-27e7-4526-9d04-55bf5da33a10</vt:lpwstr>
  </property>
  <property fmtid="{D5CDD505-2E9C-101B-9397-08002B2CF9AE}" pid="8" name="Fund IDB">
    <vt:lpwstr/>
  </property>
  <property fmtid="{D5CDD505-2E9C-101B-9397-08002B2CF9AE}" pid="9" name="Series_x0020_Operations_x0020_IDB">
    <vt:lpwstr/>
  </property>
  <property fmtid="{D5CDD505-2E9C-101B-9397-08002B2CF9AE}" pid="10" name="To:">
    <vt:lpwstr/>
  </property>
  <property fmtid="{D5CDD505-2E9C-101B-9397-08002B2CF9AE}" pid="11" name="From:">
    <vt:lpwstr/>
  </property>
  <property fmtid="{D5CDD505-2E9C-101B-9397-08002B2CF9AE}" pid="12" name="Sector IDB">
    <vt:lpwstr/>
  </property>
  <property fmtid="{D5CDD505-2E9C-101B-9397-08002B2CF9AE}" pid="13" name="Function Operations IDB">
    <vt:lpwstr>81;#IDBDocs|cca77002-e150-4b2d-ab1f-1d7a7cdcae16</vt:lpwstr>
  </property>
</Properties>
</file>